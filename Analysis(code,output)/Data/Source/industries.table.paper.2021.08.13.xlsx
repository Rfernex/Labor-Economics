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8"/>
  <workbookPr defaultThemeVersion="166925"/>
  <mc:AlternateContent xmlns:mc="http://schemas.openxmlformats.org/markup-compatibility/2006">
    <mc:Choice Requires="x15">
      <x15ac:absPath xmlns:x15ac="http://schemas.microsoft.com/office/spreadsheetml/2010/11/ac" url="/Users/nlz/Dropbox/Research/Active/Work Week in the Depression/Writing/Notes/"/>
    </mc:Choice>
  </mc:AlternateContent>
  <xr:revisionPtr revIDLastSave="0" documentId="8_{E7AEBA71-C2E1-9047-8821-3F0E9D9B8FB1}" xr6:coauthVersionLast="47" xr6:coauthVersionMax="47" xr10:uidLastSave="{00000000-0000-0000-0000-000000000000}"/>
  <bookViews>
    <workbookView xWindow="21980" yWindow="2280" windowWidth="37520" windowHeight="19340" activeTab="2" xr2:uid="{B550697C-603F-41D3-9F1C-A700CCA855BD}"/>
  </bookViews>
  <sheets>
    <sheet name="source" sheetId="2" r:id="rId1"/>
    <sheet name="Sheet2" sheetId="3" r:id="rId2"/>
    <sheet name="Sheet1" sheetId="1" r:id="rId3"/>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54" i="1" l="1"/>
  <c r="M54" i="1"/>
  <c r="J54" i="1"/>
  <c r="H42" i="1"/>
  <c r="P2" i="1"/>
</calcChain>
</file>

<file path=xl/sharedStrings.xml><?xml version="1.0" encoding="utf-8"?>
<sst xmlns="http://schemas.openxmlformats.org/spreadsheetml/2006/main" count="556" uniqueCount="511">
  <si>
    <t>code no</t>
  </si>
  <si>
    <t>industry</t>
  </si>
  <si>
    <t>1929 employment</t>
  </si>
  <si>
    <t>wall paper mfg.</t>
  </si>
  <si>
    <t>vol</t>
  </si>
  <si>
    <t>page</t>
  </si>
  <si>
    <t>268-9</t>
  </si>
  <si>
    <t>1929 firms</t>
  </si>
  <si>
    <t>next year</t>
  </si>
  <si>
    <t>firms</t>
  </si>
  <si>
    <t>emp</t>
  </si>
  <si>
    <t>Prediction</t>
  </si>
  <si>
    <t>by cutting customary 50-hour week to 40-hour week in coded, expect rise of 700 workers</t>
  </si>
  <si>
    <t>salt producing</t>
  </si>
  <si>
    <t>hours limit</t>
  </si>
  <si>
    <t>North 42/40, south 48</t>
  </si>
  <si>
    <t>wage limit</t>
  </si>
  <si>
    <t>North 35m, 32f; s 30m,25f</t>
  </si>
  <si>
    <t xml:space="preserve"> 6/1933</t>
  </si>
  <si>
    <t>other notes</t>
  </si>
  <si>
    <t>hourly wage rate for males in LA up 80%, females up 140%</t>
  </si>
  <si>
    <t>wage differentials based on type of work and cost of living</t>
  </si>
  <si>
    <t>Hours markedly reduced from 60- to 70hour week, 7 day week eliminate, expect 20% increase in employees</t>
  </si>
  <si>
    <t>leather</t>
  </si>
  <si>
    <t>278-9</t>
  </si>
  <si>
    <t>288-90</t>
  </si>
  <si>
    <t>South 32.5 for all, elsewhere 35f, 40m</t>
  </si>
  <si>
    <t>men and women doing same work to be paid same</t>
  </si>
  <si>
    <t>40 hour avg over 26 weeks, over 40 in a week paid 1.33</t>
  </si>
  <si>
    <t>80% of workers will have hours shortened  expect will return to 1929 peak of 52000</t>
  </si>
  <si>
    <t>in only 2 sections of industry will wages be below 1929, only 10% below, increase in code level over May/June 1933 ranges from 22 to 62%</t>
  </si>
  <si>
    <t xml:space="preserve">expect average increase over 1933 with 30 to 35% in hourly earnings and close to 1929.  </t>
  </si>
  <si>
    <t>expect no reduction in employment so purchasing power will be up 30-35% from May-June 1933</t>
  </si>
  <si>
    <t>motion picture lab</t>
  </si>
  <si>
    <t xml:space="preserve">$15 per week minimum </t>
  </si>
  <si>
    <t>40 hours</t>
  </si>
  <si>
    <t>employees receiving less than $35 a week for 44 hour week will receive same for 40 hour week</t>
  </si>
  <si>
    <t>wages will rise 10 to 12 percent above curren rate</t>
  </si>
  <si>
    <t>increase in employment will be 15%</t>
  </si>
  <si>
    <t>underwear and allied products</t>
  </si>
  <si>
    <t>underwear industry was under exec order for cotton textile code as of 7/21/33</t>
  </si>
  <si>
    <t>40 hour</t>
  </si>
  <si>
    <t>for first time underwear industries a majority of concerns in the industry formed an association.  Knit rayon wanted to stay out.</t>
  </si>
  <si>
    <t>bituminous coal</t>
  </si>
  <si>
    <t>312-315</t>
  </si>
  <si>
    <t>came up with 28 different codes to be harmonized</t>
  </si>
  <si>
    <t>inside ranged from 42.5 to 70.4, outside ranges from 40 to 60.25 across 31 districts</t>
  </si>
  <si>
    <t>oil burner</t>
  </si>
  <si>
    <t>340-41</t>
  </si>
  <si>
    <t>325-338</t>
  </si>
  <si>
    <t>average of 32 jan-june, 40 jul-dec</t>
  </si>
  <si>
    <t>45 per hour</t>
  </si>
  <si>
    <t>increase of 8,000 people</t>
  </si>
  <si>
    <t>gas pump</t>
  </si>
  <si>
    <t>350-1</t>
  </si>
  <si>
    <t>40c</t>
  </si>
  <si>
    <t>prior minimum wage was 30 cents</t>
  </si>
  <si>
    <t>expect some increase in employment, to get back to 1929 level would need to cut hours to less than 30 per week</t>
  </si>
  <si>
    <t>textile bag</t>
  </si>
  <si>
    <t>362-4</t>
  </si>
  <si>
    <t>rate of production fluctuates with a peak rate of 150% to 70% of annual averag</t>
  </si>
  <si>
    <t>60% of employees are women</t>
  </si>
  <si>
    <t>about 88.5% of 1929</t>
  </si>
  <si>
    <t>same minimum as cotton textile industry</t>
  </si>
  <si>
    <t>13 per week in North; 12 in South</t>
  </si>
  <si>
    <t>40 hour week max of 48 during peak not to exceed 8 weeks</t>
  </si>
  <si>
    <t>linoleum and felt base</t>
  </si>
  <si>
    <t>390-1</t>
  </si>
  <si>
    <t xml:space="preserve">avg 40 over 26 weeks, </t>
  </si>
  <si>
    <t>40m, 35f</t>
  </si>
  <si>
    <t xml:space="preserve">put into effect on August 1 </t>
  </si>
  <si>
    <t>number of wage earners increased 55 percent about average during first 6 months, more than 2000 employees added bring the number to 5888.</t>
  </si>
  <si>
    <t>early 1933</t>
  </si>
  <si>
    <t>&gt;5888</t>
  </si>
  <si>
    <t>avearge wage rate for male factory employees rose 18percent to 51.25 cents per hour.  4% less than average wage in effect in 1929</t>
  </si>
  <si>
    <t>luggage and fancy leather goods industry</t>
  </si>
  <si>
    <t>520-2</t>
  </si>
  <si>
    <t>south 32.5m 30f; rest 35m, 32.5f</t>
  </si>
  <si>
    <t>wages will be well about 1929 prevailing wages</t>
  </si>
  <si>
    <t xml:space="preserve">wage provisions immediately raise of 35% for 90% of unskilled workers; minimum wage will be above those received by 75% of the unskilled workers.  </t>
  </si>
  <si>
    <t>90%of wage earners in North, 10% in South;  84% male, 16% female0</t>
  </si>
  <si>
    <t>boots and shoes</t>
  </si>
  <si>
    <t>542-4</t>
  </si>
  <si>
    <t>over250k city 37.5m, 32.5f; 20k-250k, 36.25m, 31.25f; less and in south 35m 30f</t>
  </si>
  <si>
    <t>assuming output same as early 1933, hours cut will lead to increase in employment to 1929 level of 225,000</t>
  </si>
  <si>
    <t xml:space="preserve">min wage provision will affect 60% of wage earners in South and 30 % in north.   Increases from level of 1st qtr 1932 requie as much as 50% in South and over 30% in North.  </t>
  </si>
  <si>
    <t>saddlery mfg</t>
  </si>
  <si>
    <t>552-4</t>
  </si>
  <si>
    <t>40 hour average</t>
  </si>
  <si>
    <t>32.5S, 35rest,  skilled labor get a 15 cent per hour more than unskilled</t>
  </si>
  <si>
    <t>expect reemployment of 15 to 20%</t>
  </si>
  <si>
    <t>bankers</t>
  </si>
  <si>
    <t>PRA led to a decided increse in employees and wages in all but small country towns.</t>
  </si>
  <si>
    <t>silk textiles</t>
  </si>
  <si>
    <t>588-590</t>
  </si>
  <si>
    <t>large number of small units</t>
  </si>
  <si>
    <t>wage level identical to national rayon weavers association under cotton textile code</t>
  </si>
  <si>
    <t>unlike other textile industries, the min wage will apply to only about 10% of employees</t>
  </si>
  <si>
    <t>13/wkN, 12/wkS</t>
  </si>
  <si>
    <t>optical mfg</t>
  </si>
  <si>
    <t>40/hr for not less than 75% of employees, 32.5 for not more than 20%, 25 for less than 5</t>
  </si>
  <si>
    <t xml:space="preserve">3 of 102 companies had 52% of business in 1931, average hours in 1929 47, 1931 avg was 45, </t>
  </si>
  <si>
    <t>40 hour week lead to 930 more workers</t>
  </si>
  <si>
    <t>throwing</t>
  </si>
  <si>
    <t>32.5N, 30 S</t>
  </si>
  <si>
    <t>644-5</t>
  </si>
  <si>
    <t>600-1</t>
  </si>
  <si>
    <t>cap and closure</t>
  </si>
  <si>
    <t xml:space="preserve">drop in sales of only 10% since 1929, but employment dropped 18%, </t>
  </si>
  <si>
    <t>code will necessitate an 11% increase in employment and that $350,000 will be added to the yearly payroll</t>
  </si>
  <si>
    <t>marking devices</t>
  </si>
  <si>
    <t>average wage in 1931 was 55.3 cents for 47-hour week</t>
  </si>
  <si>
    <t>a 40-hour week will raise the level of employment to a poinst slightly lower than the level of 1929 employment and will add approximately 874 productive employees to the payroll</t>
  </si>
  <si>
    <t>2971  wage earners</t>
  </si>
  <si>
    <t>2496 wage earners</t>
  </si>
  <si>
    <t>retail trade</t>
  </si>
  <si>
    <t>retailers stated that in working under the wge and hour provisions of the substitute Retail Code, which had been in effect about 30 days, operating expenses had been substantially increased due to the additions to pay rolles which required enlarged current cash outlyas, and that this new burden could not be carried by thousands of financially weekend concerns unless provision for protection against predatory price cutting became effective at once.</t>
  </si>
  <si>
    <t>industrial supplies and machinery distributers' trade</t>
  </si>
  <si>
    <t>40 from average of 48</t>
  </si>
  <si>
    <t>The 40-hour week stipulated in the Code is a reduction from an average of more than 48 hours per week, and the trade estimates that under the provision of the Code the number of employees will be increased 20 percent.</t>
  </si>
  <si>
    <t>27000 normally</t>
  </si>
  <si>
    <t>steel tubular and firebox boiler industry</t>
  </si>
  <si>
    <t>40  1.5 overtime beyond</t>
  </si>
  <si>
    <t>40/hour south 34</t>
  </si>
  <si>
    <t>The adoption of the 40-hour week under the RE-Empllyment Agreement and recent improved business have increased employment from April 1st to September 1st, 45 percent</t>
  </si>
  <si>
    <t>estimated an average wage increases since 4/1/33 of 19 percent.  Avg. min wage rate last Aprils was approx. 30 cents and on September 1st 36 cents.</t>
  </si>
  <si>
    <t>1928 3300</t>
  </si>
  <si>
    <t xml:space="preserve">plumbago crucible industry </t>
  </si>
  <si>
    <t>58-59</t>
  </si>
  <si>
    <t xml:space="preserve">kiln burners go from 72 to 48, 40 hours </t>
  </si>
  <si>
    <t xml:space="preserve">The Industry is contributing to reemployment by putting back to work approximately 28 percent of those employed on February 16, 1932.  This will be accomplished through the reduction of normal hours from 48 to 40.  </t>
  </si>
  <si>
    <t>wage minimum rises from 30 to 40.</t>
  </si>
  <si>
    <t>dress manufacturing</t>
  </si>
  <si>
    <t>industry only 30 years old.  New York accounts for 78.6 percent of business</t>
  </si>
  <si>
    <t>average annual wage declined from 1344 in 1929 to 880 in 1932.</t>
  </si>
  <si>
    <t>By the introduction of the 35-hour week, therefore, employment during busy seasons should increase about 37 percent.  It is hoped that the restricted week will materially reduce the seasonal fluctuations in employment.  The full-time workweek was likely 48  hours.</t>
  </si>
  <si>
    <t>advertising specialty</t>
  </si>
  <si>
    <t>average hours of work in May 1933 was 40.  All companies being consered show higher average of 48 per week.  The industry now reports 40 per week as a result of the Reemployment Program and it is estimated that there has been an increase in employment of approximately 15 percent.</t>
  </si>
  <si>
    <t>Report Date</t>
  </si>
  <si>
    <t>empind117</t>
  </si>
  <si>
    <t>weekhours117</t>
  </si>
  <si>
    <t>hourearn117</t>
  </si>
  <si>
    <t>weekearn117</t>
  </si>
  <si>
    <t>thourind117</t>
  </si>
  <si>
    <t>Fertilizer</t>
  </si>
  <si>
    <t>Paint, Varnish and Lacquer Manufacturing</t>
  </si>
  <si>
    <t xml:space="preserve">Copper and Brass Mill Products </t>
  </si>
  <si>
    <t>Steel Casting</t>
  </si>
  <si>
    <t>Soap and Glycerine Manufacturing</t>
  </si>
  <si>
    <t>Fabricated Metal Products Mfg and Metal Finishing and Metal Coating</t>
  </si>
  <si>
    <t>American Petroleum Equipment Industry and Trade</t>
  </si>
  <si>
    <t>Business Furniture</t>
  </si>
  <si>
    <t>Office Equipment Manufacturing</t>
  </si>
  <si>
    <t>Floor and Wall Clay tile Manufacturing</t>
  </si>
  <si>
    <t>Paperboard</t>
  </si>
  <si>
    <t>Cleaning and Dyeing Trade</t>
  </si>
  <si>
    <t>Shovel, Dragline and Crane</t>
  </si>
  <si>
    <t xml:space="preserve">Machine Tool and Forging Machinery </t>
  </si>
  <si>
    <t>Automotive Parts and Equipment Manufacturing</t>
  </si>
  <si>
    <t xml:space="preserve">Scientific Apparatus </t>
  </si>
  <si>
    <t>Cotton Garment</t>
  </si>
  <si>
    <t>Newsprint</t>
  </si>
  <si>
    <t xml:space="preserve">Paper and Pulp </t>
  </si>
  <si>
    <t xml:space="preserve">Hotel </t>
  </si>
  <si>
    <t>Special Tool, Die and Machine Shop</t>
  </si>
  <si>
    <t>Structural Clay Products</t>
  </si>
  <si>
    <t>Chinaware and Porcelain Manufacturing</t>
  </si>
  <si>
    <t xml:space="preserve">Cement  </t>
  </si>
  <si>
    <t>Malleable Iron</t>
  </si>
  <si>
    <t xml:space="preserve">Gas Appliance and Apparatus </t>
  </si>
  <si>
    <t>Vitrified Clay Sewer Pipe Manufacturing</t>
  </si>
  <si>
    <t>Anti-friction Bearing</t>
  </si>
  <si>
    <t>Furniture Manufacturing</t>
  </si>
  <si>
    <t>Millinery</t>
  </si>
  <si>
    <t>Can Manufacturing</t>
  </si>
  <si>
    <t>Valve and Fittings Manufacturing</t>
  </si>
  <si>
    <t>Rubber Manufacturing</t>
  </si>
  <si>
    <t>Knitted Outerwear</t>
  </si>
  <si>
    <t>Non-Ferrous Foundry</t>
  </si>
  <si>
    <t>Set-Up Paper Box Manufacturing</t>
  </si>
  <si>
    <t>Refractories</t>
  </si>
  <si>
    <t>Rayon and Silk Dyeing and Printing</t>
  </si>
  <si>
    <t>Rubber Tire Manufacturing</t>
  </si>
  <si>
    <t>Medium and Low Priced Jewlery Manufacturing</t>
  </si>
  <si>
    <t>Silverware Manufacturing</t>
  </si>
  <si>
    <t>Cast Iron Pressure Pipe</t>
  </si>
  <si>
    <t>Folding Paper Box</t>
  </si>
  <si>
    <t>Railway Safety Appliance</t>
  </si>
  <si>
    <t>Carpet and Rug Manufacturing</t>
  </si>
  <si>
    <t>Plumbing Fixtures</t>
  </si>
  <si>
    <t>American Glassware</t>
  </si>
  <si>
    <t>Textile Processing</t>
  </si>
  <si>
    <t>Cooking and Heating Appliance and Manufacturing</t>
  </si>
  <si>
    <t>Corrugated and Solid Fibre Shipping Container</t>
  </si>
  <si>
    <t>Printing Equipment Industry and Trade</t>
  </si>
  <si>
    <t>Cast Iron Boiler and Cast Iron Radiator</t>
  </si>
  <si>
    <t>Chemical Manufacturing</t>
  </si>
  <si>
    <t xml:space="preserve">Gray Iron Foundry </t>
  </si>
  <si>
    <t>Laundry Trade</t>
  </si>
  <si>
    <t>Railway Car Building</t>
  </si>
  <si>
    <t>Graphic Arts</t>
  </si>
  <si>
    <t xml:space="preserve">Daily Newspaper Publishing Business </t>
  </si>
  <si>
    <t>Narrow Fabrics</t>
  </si>
  <si>
    <t>Die Casting Manufacturing</t>
  </si>
  <si>
    <t>Machinery and Allied Products</t>
  </si>
  <si>
    <t xml:space="preserve">Infants and Children's Wear </t>
  </si>
  <si>
    <t>Copper</t>
  </si>
  <si>
    <t>Drop Forging</t>
  </si>
  <si>
    <t xml:space="preserve">Baking </t>
  </si>
  <si>
    <t>Canning</t>
  </si>
  <si>
    <t>Bottled Soft Drink</t>
  </si>
  <si>
    <t>Candy Manufacturing</t>
  </si>
  <si>
    <t>Structural Steel and Iron Fabricating</t>
  </si>
  <si>
    <t xml:space="preserve">Commercial Vehicle Body </t>
  </si>
  <si>
    <t xml:space="preserve">Pharmaceutical and Biological </t>
  </si>
  <si>
    <t>Flat Glass Manufacturing</t>
  </si>
  <si>
    <t>LP10</t>
  </si>
  <si>
    <t>Brewing</t>
  </si>
  <si>
    <t>LP17</t>
  </si>
  <si>
    <t>Wheat Flour Milling</t>
  </si>
  <si>
    <t>mixers of fertilizer mostly in South , extreme seasonality, 85 percent is moved in roughly 3 months, common labor is 70 percent</t>
  </si>
  <si>
    <t>121-2</t>
  </si>
  <si>
    <t>38000 in 29, 33000 more normal in 28</t>
  </si>
  <si>
    <t xml:space="preserve">The reduction of hours in this Code to an average of 40 for a fourth months period, with overtime for all work in excess of 8 hours per day, should incrfease the number of employees in the pak season to about 27500.  Wages establihsed should increase wages of 100% of workers in Southy, 90 percent in North and West .  Wage wase 13.7 cents per hour, code says 25 cents.  </t>
  </si>
  <si>
    <t>170-1</t>
  </si>
  <si>
    <t xml:space="preserve">The reduction in the number of hours from 47.5 of June, 1933, to a maximum of 41.2 average for a six months period provided by the Colde will mean an increase in employment of approximately 25 percent.  From low of 18k to 25k.   </t>
  </si>
  <si>
    <t xml:space="preserve">Wages set in code will increase the pay of only about 20% of the workers in the Northern area and 30 percent of workers in the Southern area.  </t>
  </si>
  <si>
    <t>290-1</t>
  </si>
  <si>
    <t>40 with 8 hour day</t>
  </si>
  <si>
    <t>40 for male and 35 for females unless1929 below</t>
  </si>
  <si>
    <t>operation under substantiall the provisions of the Code has resulted in employment of approximately 5000 additional employees since the first of the year.</t>
  </si>
  <si>
    <t>28324 with min wage of 399.9  50-55 hours per week</t>
  </si>
  <si>
    <t>jan33 18782 with min wage of 32.4 and 38 hours a week, aug 15 23782 with min wage of 38.1 and 42 hours per week, predict under code at Aug 15 op level, 24000 workers, 40 min wage, 40 hours</t>
  </si>
  <si>
    <t>300-301</t>
  </si>
  <si>
    <t>40 in north 25 in south</t>
  </si>
  <si>
    <t>While developing code, the industry has endeavored to adjust hours and wages to meet code.  Reports for July and August show an increase in rates of pay of 8.8 Percent since July 1st,.  Approximately 3000 employees have been added to pay rolls since July 1st as a result of the reduction in hours from 50 to 40 and on the basis of the present level of operation in the Inudstry, another 3000 are estimated to be necessary to fully meet requirements of the code.</t>
  </si>
  <si>
    <t xml:space="preserve">Approximately 3000 employees have been added to pay rolls since July 1st as a result of the reduction in hours from 50 to 40 and on the basis of the present level of operation in the Inudstry, another 3000 are estimated to be necessary to fully meet requirements of the code.It is estimated that in working under the provisions of the Code at three fourths of the 1926 rate of production which is 51% of capacity, the Industry will absorb all the workers then employed in the industry.  Should production reach the normal figure of 68% of capacity on the basis of a 40-hour week, it is estimated that the industry would require an average of 54,209 employees or 13,000 more than were required in 1926.  </t>
  </si>
  <si>
    <t>51000 in 1929 with min rate of 38cents, weekly hours 50 to 84, 43000 in normal times (1926) at min pay 35 week hours 49-84.</t>
  </si>
  <si>
    <t>22000 with min rate of 25. hours 30-84</t>
  </si>
  <si>
    <t>25150  min wage 36, hours 30-40</t>
  </si>
  <si>
    <t>319-320</t>
  </si>
  <si>
    <t>40 in north 35 in south</t>
  </si>
  <si>
    <t>20000 in 1919</t>
  </si>
  <si>
    <t>no seasonal peaks output has risen since 1919 while employment has fallen, mechanization</t>
  </si>
  <si>
    <t>1929 level with avg works for 86% of employees of 48</t>
  </si>
  <si>
    <t>The reduction of hours as provided in the code to an average of 40 per week with a penalty overtime rate for hours over 8 per day or 40 per week should increase total employment to afigure better than that of 1929, which will mean a reversal of the shrinking trend of the previous thirteen years.</t>
  </si>
  <si>
    <t xml:space="preserve">only 1 percent of industry is in the south. </t>
  </si>
  <si>
    <t>328-31</t>
  </si>
  <si>
    <t>40 north, 35 south</t>
  </si>
  <si>
    <t>In normal times operates on 50-55 hours per week</t>
  </si>
  <si>
    <t>with the adopton of the 40-hour week as provided in the code, there will be an increase in the number of persons employed, on the same basis of activity of 25 percent</t>
  </si>
  <si>
    <t>March 1933 204,500</t>
  </si>
  <si>
    <t>average hours worked have been reeduced 5.7 percent since july 1, 1933 and under the code will be reduced another 3 percent at least.  If the rate of production in evidence 10/1/1933 continues it is estimated that the code provision will result in a futher increase in the numjber of employees of approximately 11 percent</t>
  </si>
  <si>
    <t>40 male and female, one division 30 for female</t>
  </si>
  <si>
    <t>employment dropped 53% in 1929-1933</t>
  </si>
  <si>
    <t>Majority of Industry signed PRA.  After signing employment rose 23.5 percent over average in first half of 1933.  Has risen more since the figures came in.</t>
  </si>
  <si>
    <t>340-1</t>
  </si>
  <si>
    <t>40 average in 3 monh period</t>
  </si>
  <si>
    <t xml:space="preserve">40 north, 35 south  </t>
  </si>
  <si>
    <t>average week pre NRA passage 50 hours</t>
  </si>
  <si>
    <t xml:space="preserve">the application of the 40-hour schedule together with some increase in business has resulted since March 1, 1933 in an increase of about 4,000 employees, or an increase34 of 42 percent in employment from the low point of the Depression.  </t>
  </si>
  <si>
    <t>414-6</t>
  </si>
  <si>
    <t>code to cover 93% of industry, sales dropped 70% last 4 years</t>
  </si>
  <si>
    <t>dropped 48% in last 4 yers</t>
  </si>
  <si>
    <t>majority signed the PRA</t>
  </si>
  <si>
    <t>Majority immediately signed PRA…resulting in a net increase of employment of approximately 40 percent over the average number of wage earners employed in the first half of the year 1933.  The remployment of labor with attendant increases in yearly payroll has already been materially increased since the date of the submitted figures and will be further accelerated by any increase in the volume of business.</t>
  </si>
  <si>
    <t>444-446</t>
  </si>
  <si>
    <t>40 average over month, max 48 in any one week</t>
  </si>
  <si>
    <t>dropped 55% since 1928</t>
  </si>
  <si>
    <t xml:space="preserve">Due to the present low volume of business it is doubtful whether the adoption of this coded would result in a large immediate increase in employment…The sponsors of the code have estimated an immediate increase in employment of 15% or 350 person.  </t>
  </si>
  <si>
    <t>min wage propose are approx. 70% higher then the average wages now paid in lowest paid occ. And from 10 to 15 percent higher than the averages paid in same occs in 1928.  lower minimum wage for women is in accordance with past practice</t>
  </si>
  <si>
    <t>Since July 1, due in part to increased production, and in part to the PRA, the number employed has been increased to about 22,500, and it is estimated theat when all manufacturers are subject to the Code, th 1929 figure of 25000 will be reached</t>
  </si>
  <si>
    <t>548-550</t>
  </si>
  <si>
    <t>Trade Association has about 70% of employees, etc.  Cutthroat comp in indsutry, led to racketeering, slashing prices below cost, lowering wages and sweating labor, inferior quality poor servces, over 600k in past wages due to workers in NYC.  Price war drop chareges from $1.50 to 29 to 19 cents, some establishments not go below 45.</t>
  </si>
  <si>
    <t>40 for plant employees, peak season 45</t>
  </si>
  <si>
    <t>unskilled min wage 27-33 in north, 20 in south</t>
  </si>
  <si>
    <t>564-6</t>
  </si>
  <si>
    <t>40 , peak of 44 not more than 8 weeks in 6 months.</t>
  </si>
  <si>
    <t>first half 1933</t>
  </si>
  <si>
    <t xml:space="preserve">Since the application of this 40-hour week employment has increased approximately 20 percent.  </t>
  </si>
  <si>
    <t>578-9</t>
  </si>
  <si>
    <t>40 except in peak</t>
  </si>
  <si>
    <t>40 unless below 40 in July 1929</t>
  </si>
  <si>
    <t xml:space="preserve">Hours of labor average 34 per week in June 1933 as compared to 53 in 1929 </t>
  </si>
  <si>
    <t xml:space="preserve">With increased orders and the application of the 40-hour week as provided in this Code employment should increase approximately 12 percent and payrolls increase approximately 20 percent.  </t>
  </si>
  <si>
    <t>600-2</t>
  </si>
  <si>
    <t>group proposing was 80% of industry</t>
  </si>
  <si>
    <t xml:space="preserve">last 4 years </t>
  </si>
  <si>
    <t>30% drop</t>
  </si>
  <si>
    <t xml:space="preserve">It is estimated that, giving due consideration to reemployment and wage increases already effect, the Labor Provisions of the Code will result in restoring employment in the Industry to approximately 96% of the number employed in 1928.  </t>
  </si>
  <si>
    <t>40 avg over 6 months</t>
  </si>
  <si>
    <t>40 male, 35 female, lower in South</t>
  </si>
  <si>
    <t>nicchris industry</t>
  </si>
  <si>
    <t>394-5</t>
  </si>
  <si>
    <t>35/40 in North 30 and 32.5 in South</t>
  </si>
  <si>
    <t>industry is cyclical and unstable.  Dropped from 87% capacity in 1929 to 8% in August 1932, 35% in November 1933</t>
  </si>
  <si>
    <t xml:space="preserve">1933 March </t>
  </si>
  <si>
    <t>minimum wages of common labor were 30 in 1929 18 in early 1933 23 in aug sept 1933</t>
  </si>
  <si>
    <t>It is estimated that under operation under Code as submitted, there will be an additional increase in employment of approximately 3400.  The rate of operation in the industry has not changed materially since June 1933 and therefore it may reasonably be assumed that operation under the cod, based on the above comparison, will show an increase in employment in this industry of approximately 5300 persons or 24%.  A return to operation at 56% capacity is etimated will put back to work all who were employed in 1929.</t>
  </si>
  <si>
    <t>1929 march peak 42957 at 55% capacity, low dec 22809 at 53.9% capacity hours per week were 51 peak 49 low</t>
  </si>
  <si>
    <t xml:space="preserve">13800 at 25 hours per week at 11.4% capacity, </t>
  </si>
  <si>
    <t>july 22200 at 36, Aug 22320 at 36.3% capacity and 37 hours,  sept 24105 at 36.6% capacity at 40 hours</t>
  </si>
  <si>
    <t>32-33</t>
  </si>
  <si>
    <t>average workweek in 1928 was 45, 1929 was 48-50</t>
  </si>
  <si>
    <t xml:space="preserve">to get badk to 16000 employees would require adoption of 18-24 hours per week.  </t>
  </si>
  <si>
    <t>80-83</t>
  </si>
  <si>
    <t>had been working much more than 40</t>
  </si>
  <si>
    <t>Not certain of level of unemployment in industry.  The code authority is asked to report promptly on reemployment which results from the reduction to 40 hours so that the Administrator may decide whether there should be further reduction.</t>
  </si>
  <si>
    <t>104-5</t>
  </si>
  <si>
    <t>38, 33 for women but men women doing same work get same pay</t>
  </si>
  <si>
    <t>us. Output fell from 1.4 million tons to 1.008 million in 1932, price fallen from $65 per ton to $40 in 1933</t>
  </si>
  <si>
    <t>The industry has shortened its working hours from 48 to 40 per week and increased its wage rates substantially by this Code.  Employment will be increased by only about 10 percent by theis change because the average work week has been only slightly over 40 hours.</t>
  </si>
  <si>
    <t>116-118</t>
  </si>
  <si>
    <t>38/35/30</t>
  </si>
  <si>
    <t xml:space="preserve">128000 but technical improvements suggest about 120000 would be normal in 1933.  </t>
  </si>
  <si>
    <t>The effect of the Code, however, will be to restore employment to 128,000, the 1929 figure although the present rate of proudction is fare below the 1929 rate</t>
  </si>
  <si>
    <t>176-7</t>
  </si>
  <si>
    <t>340-350 thousand</t>
  </si>
  <si>
    <t>rise in employment due to opening of large otels.  Hours being cut to 54</t>
  </si>
  <si>
    <t>188-9</t>
  </si>
  <si>
    <t>40 with averageing</t>
  </si>
  <si>
    <t>It is estimated that approximately 25 percent additional employees will be put to work by prospective new business and trhough the operation of the schedule of hours provided in this code.</t>
  </si>
  <si>
    <t>198-9</t>
  </si>
  <si>
    <t>37.5,35, 30, 27,25,24</t>
  </si>
  <si>
    <t>currently operating at about 37 per week.  With the 36-hour week proposed a slight increase in employment should be possible.</t>
  </si>
  <si>
    <t>274-5</t>
  </si>
  <si>
    <t>40m32f same work provision pay mf same for same job</t>
  </si>
  <si>
    <t>fairly well unionized, production dropped about 22% from 1928 to 1933, faces foreign competition</t>
  </si>
  <si>
    <t>326-27</t>
  </si>
  <si>
    <t>40,38,37, 30</t>
  </si>
  <si>
    <t>production down 54% from 1928 to 1932.</t>
  </si>
  <si>
    <t>34244 in 1928</t>
  </si>
  <si>
    <t xml:space="preserve">It is estimated that based on employment in 1932, the adoption of the 36 hour week as proposed in the Code will cause absorption by the Industry of 5618 additional workers.  </t>
  </si>
  <si>
    <t>422-3</t>
  </si>
  <si>
    <t>40m 35f in N, 35m 30f in S</t>
  </si>
  <si>
    <t>Jan 1933 in N</t>
  </si>
  <si>
    <t>16769 at 43 hours</t>
  </si>
  <si>
    <t>11513 at 46 hours</t>
  </si>
  <si>
    <t>20235 in North at 48 hours</t>
  </si>
  <si>
    <t>The Industry estimates that approximately 6000 employees will have been added through the operation of the Code provisions.</t>
  </si>
  <si>
    <t>48 for continous processes</t>
  </si>
  <si>
    <t>37 North, 27 in South</t>
  </si>
  <si>
    <t>446-7</t>
  </si>
  <si>
    <t>sales declined 83% from 1928 to 1933</t>
  </si>
  <si>
    <t>10284 in 1928</t>
  </si>
  <si>
    <t>in the continuous process occupations, a substantial increase in employment should result from the code.  In noncontinuous the result will be rather a shortening of the lay-off periods, due to the intermittent typoe of operation which prevails in the industry</t>
  </si>
  <si>
    <t>474-5</t>
  </si>
  <si>
    <t>40/35 for less strength</t>
  </si>
  <si>
    <t xml:space="preserve">40-hour work week adopted under PRA </t>
  </si>
  <si>
    <t>The 40-hour week prescribed in this Code and adopte3d under the PRA, in addition to improved business, has increased the number of employees 46 percent since June 1933 when the hours averaged 46 per week.  After the application of the PRA, the number of employees in this Industry increased to 13700 in August or an increase of 39 percent since June and 95 percent since March 1933.  In September the addition of 800 employees brought the total to nearly 90 percent of the 1929 level.</t>
  </si>
  <si>
    <t>552-3</t>
  </si>
  <si>
    <t>34n, 30 s</t>
  </si>
  <si>
    <t>competitive industry earned 3.42 percent profit on sales in 1928.  1932 loss of 20 percent</t>
  </si>
  <si>
    <t>Available statisticl data indicated that because of the provisions of the Code r3educing the number of hours that employees may be worked, the industry will absorb all of the workers normally employed in factories now in operationand in addition, a very large proportion of the furniture workers who have been unemployed as a result of the closing of several hundred plants in the last few years.</t>
  </si>
  <si>
    <t xml:space="preserve">In june 1933 more than 58 percetn of norther employees and 68 percent in south earned less than the minimum rates in the code.  </t>
  </si>
  <si>
    <t xml:space="preserve">ice </t>
  </si>
  <si>
    <t>ice</t>
  </si>
  <si>
    <t>cigar and cigarette</t>
  </si>
  <si>
    <t>silk and rayon</t>
  </si>
  <si>
    <t>boot and shoe</t>
  </si>
  <si>
    <t>ice cream</t>
  </si>
  <si>
    <t>motor vehicles</t>
  </si>
  <si>
    <t>Aircraft Manufacturing</t>
  </si>
  <si>
    <t>Anthracite Coal</t>
  </si>
  <si>
    <t>Butter Manufacturing</t>
  </si>
  <si>
    <t>Cottonseed Oil Refining</t>
  </si>
  <si>
    <t>Ice Cream Manufacturing</t>
  </si>
  <si>
    <t>Meat Packing</t>
  </si>
  <si>
    <t>Sugar Refining, Cane Textile Machinery Manufacturing</t>
  </si>
  <si>
    <t>Cotton Textile</t>
  </si>
  <si>
    <t>Shipbuilding and Ship Repair</t>
  </si>
  <si>
    <t>Wool Textile</t>
  </si>
  <si>
    <t>Electrical Manufacturing</t>
  </si>
  <si>
    <t>Coat and Suit Manufacturing</t>
  </si>
  <si>
    <t>Corset and Brassiere</t>
  </si>
  <si>
    <t xml:space="preserve">Lumber and Timber Products </t>
  </si>
  <si>
    <t>Petroleum Producing, Crude</t>
  </si>
  <si>
    <t>Petroleum Refining</t>
  </si>
  <si>
    <t>Rayon and Synthetic Yarn Producing</t>
  </si>
  <si>
    <t>Men's Clothing</t>
  </si>
  <si>
    <t>Hosiery Manufacturing</t>
  </si>
  <si>
    <t>Automobile Manufacturing</t>
  </si>
  <si>
    <t>Iron and Steel</t>
  </si>
  <si>
    <t>blast furnaces, steel works</t>
  </si>
  <si>
    <t>173-6</t>
  </si>
  <si>
    <t>many members of the code have been operating under its wage provision since middle of july.  Industry has also been a leader in the "share-the-work" movement since 1929.</t>
  </si>
  <si>
    <t xml:space="preserve">About 272000 men were employe at the end of July and working, roughly, 43 hours a week.  With a maximum 40phour week and 36 hours effective it is estimatined that this number would be increasxed to about 325,000.  The hours in the code should allow of a production without undue strain of about 3.58 million tons per stand month, this being the half-way recover point from the May 133 level of 1.916 million to the average of 4.516 million for 1929.  This will require 62 million man-hours per month or say 65 million to provide for seasonal peaks.  This could be provided by 417,000 men on a 40 hour wweek.  </t>
  </si>
  <si>
    <t xml:space="preserve">40 avg. over 6 montsh.  </t>
  </si>
  <si>
    <t>40/39/38/37/35/27/25</t>
  </si>
  <si>
    <t>252-4</t>
  </si>
  <si>
    <t>no report just short letter from Johnson</t>
  </si>
  <si>
    <t>43/41/5/40</t>
  </si>
  <si>
    <t xml:space="preserve">average over time of 35 </t>
  </si>
  <si>
    <t>40,  80 for machines</t>
  </si>
  <si>
    <t>32.5 n, 30 in south</t>
  </si>
  <si>
    <t>march 1933 low</t>
  </si>
  <si>
    <t>predicts that reduction to 40 hour week would lead to 528,000 worker to produce 1929 output.  In other words, the 40-hour limit would not only call back to work those who became unemplysince 1929, but would call for 13% more employees thatn the average in the peak year of 1927 when 467,000 were employed.</t>
  </si>
  <si>
    <t xml:space="preserve"> 3-6</t>
  </si>
  <si>
    <t>26-28</t>
  </si>
  <si>
    <t>96-98</t>
  </si>
  <si>
    <t>it is estimated by the representatives of this industry that with the new Naval Shipbuilding Program and working under the restrictions of hours of employment contained in this code, total employment in the industry will be increased materially above the highest levels of employment reached since the War, raising the employment from its present levels of about 15000 men to approximately 60,000.</t>
  </si>
  <si>
    <t>36 hour average over 6 months</t>
  </si>
  <si>
    <t>45 n, 35 s</t>
  </si>
  <si>
    <t>around 7/26/1933</t>
  </si>
  <si>
    <t>34-37</t>
  </si>
  <si>
    <t>44-47</t>
  </si>
  <si>
    <t>35 n 32.5 s</t>
  </si>
  <si>
    <t>By reason of shortening hours, as provided by this Code, approximately 27000 workers will be added to wool textile mills payrools to operate the industry onf the basis of the 1929 level of activity.  The application of the 40-hour week would require the total employment of 173,000 workers to produce the 1929 volume or approximately 18% more than the number employed on the average in the year 1929</t>
  </si>
  <si>
    <t>near 8/4/1933</t>
  </si>
  <si>
    <t>near 8/14/1933</t>
  </si>
  <si>
    <t>no prediction</t>
  </si>
  <si>
    <t>no report just roosevelt letter</t>
  </si>
  <si>
    <t>22.5 up to 42.5</t>
  </si>
  <si>
    <t>48 in most 40 in NW for sawmills</t>
  </si>
  <si>
    <t xml:space="preserve">typically operates 60 hours a week in South, and 48 in rest.  </t>
  </si>
  <si>
    <t>Southern Pine Assocation indicated that a week of 48 hours in the South would provide remployment for 31,250 wage earners.  On the basis of 40 hours in themills and 48 hours in the woods in the West it was estimated that reemployment would be given to 14000 workers.</t>
  </si>
  <si>
    <t>no report just short letter. Says report is coming</t>
  </si>
  <si>
    <t>near 8/26/1933</t>
  </si>
  <si>
    <t>224-6</t>
  </si>
  <si>
    <t>prices fell from 4.77 per pound in 1919 to 0.55 in april 1933.  since then pricers up to 65 cent, which is 47.5 percent below 1929 average</t>
  </si>
  <si>
    <t>lower than 41000</t>
  </si>
  <si>
    <t xml:space="preserve">hours per week 44.8 in 1930, 37.4 in July 1932, and 45.3 in June 1933 </t>
  </si>
  <si>
    <t>the provision of the code relateding to maximum hours of labor will bring about the employment of from 3500 to 4500 additional employees.</t>
  </si>
  <si>
    <t>no report short letter promises report</t>
  </si>
  <si>
    <t>no report</t>
  </si>
  <si>
    <t>cigarette, snuff, chewing, and smoking tobacco manufacturing industry</t>
  </si>
  <si>
    <t>35 or 25</t>
  </si>
  <si>
    <t>under PRA since August 1933chewing tobacco consumption falling, cigarette consumption tripling.</t>
  </si>
  <si>
    <t xml:space="preserve">as a result of this agreement, which the industry considered a code, it is estimated that employment increased about 7% and wages approximately 15 percent at the time.   the , </t>
  </si>
  <si>
    <t>operated under PRA starting august 1933. Modified agreement on 8/16/33  set 40 hours factory or mechanical not less than 40 or less than hourly on 7/15/29, not less than 30</t>
  </si>
  <si>
    <t>operated under PRA starting august 1933,  modified agreement on 8/25/33 set 40 hour week.</t>
  </si>
  <si>
    <t>operated under PRA starting august 1933, modified 8/18 allowed 48 for factory;  40  for other employees</t>
  </si>
  <si>
    <t>cotton seed crushing had modified agreement as of 12/1/33 for hours</t>
  </si>
  <si>
    <t>operated under PRA modified agreement 8/1/1933, plant workers max 48 May 1 to sep 30, 40 otherwise</t>
  </si>
  <si>
    <t xml:space="preserve">operated under PRA with modification of 40 hour week on 8/19/33; can syrup packing and mixing modification on 9/7/33 set 40 hours,  wages 40 m 30 female in norht; 25 cents for male and female in south </t>
  </si>
  <si>
    <t>operated under PRA modified 8/1/33 40 hour week but up to 48, multiple extensions through 1/10/35</t>
  </si>
  <si>
    <t>LP1</t>
  </si>
  <si>
    <t>Beet Sugar</t>
  </si>
  <si>
    <t>sugar</t>
  </si>
  <si>
    <t>688-9</t>
  </si>
  <si>
    <t>the provisions of the code related to maximum hours of labor are believed to be such that employment in the industry will be increased by between 20 and 25 percent, or 5,000 to 6,000 additional employees.</t>
  </si>
  <si>
    <t>48 hours per week, 8 per day,  averaged over year, maximum of 56 in any one week. Clerical workers 40 hours</t>
  </si>
  <si>
    <t xml:space="preserve">32.5 outside south, 23 in south.  </t>
  </si>
  <si>
    <t xml:space="preserve">40 but during rush of planting season may go up to 20 hours in any week but avearge must be 40 over any consecutive 4 month period.  48 hour limit on continuous operation employees when other competent employees available.  Overtime at 1 1/3 </t>
  </si>
  <si>
    <t>COM Industry</t>
  </si>
  <si>
    <t>NRA Code or PRA Substitution</t>
  </si>
  <si>
    <t>Date Effective</t>
  </si>
  <si>
    <t>Ice Manufacturing</t>
  </si>
  <si>
    <t>Ice Cream</t>
  </si>
  <si>
    <t>Cotton Goods</t>
  </si>
  <si>
    <t>Motor Vehicles</t>
  </si>
  <si>
    <t>Cigars and Cigarettes</t>
  </si>
  <si>
    <t>PRA Substitution</t>
  </si>
  <si>
    <t>48 May 1 to September 30; 40 October 1 to April 30</t>
  </si>
  <si>
    <t>none</t>
  </si>
  <si>
    <t>Sugar Refining</t>
  </si>
  <si>
    <t>NRA/PRA Industry</t>
  </si>
  <si>
    <t>Milk Sugar</t>
  </si>
  <si>
    <t>Restrictions on Production Workers</t>
  </si>
  <si>
    <t>44 averaged over 12-months, 48 max per week; tolerance of 10 for up to 16 weeks.</t>
  </si>
  <si>
    <t>Cane Sugar</t>
  </si>
  <si>
    <t>NRA Labor Provision LP1</t>
  </si>
  <si>
    <t>40 outside beet season; 56 during beet season</t>
  </si>
  <si>
    <t>40 averaged over 8 week; 48 in any one week</t>
  </si>
  <si>
    <t>NRA Code 43</t>
  </si>
  <si>
    <t>48 averaged over year; 56 in any one week</t>
  </si>
  <si>
    <t>32.5 outside South; 23 in south</t>
  </si>
  <si>
    <t>Cotton Textiles</t>
  </si>
  <si>
    <t>NRA Code 1</t>
  </si>
  <si>
    <t>32.5 North, 30 South</t>
  </si>
  <si>
    <t>NRA Code 11</t>
  </si>
  <si>
    <t>40 average over 6 months; 48 in week</t>
  </si>
  <si>
    <t>40/39/38/37/35/27/25 by location</t>
  </si>
  <si>
    <t>Automobiles</t>
  </si>
  <si>
    <t>NRA Code 17</t>
  </si>
  <si>
    <t>43/41.5/40 by size of city</t>
  </si>
  <si>
    <t>Cigarette, Chewing, and Smoking Tobacco and Snuff Industry</t>
  </si>
  <si>
    <t>PRA Substitution 1615/21</t>
  </si>
  <si>
    <t>40 or rate from 7/15/29 if lower; in no event below 30</t>
  </si>
  <si>
    <t>40 hours with tolerance of 20% in green leaf buying season</t>
  </si>
  <si>
    <t>35 average with tolerance of 3 percent; 48 in peak period</t>
  </si>
  <si>
    <t>Cigar Manufacturing</t>
  </si>
  <si>
    <t>PRA Substitution 1615/13</t>
  </si>
  <si>
    <t>45 during 4-month seasonal peak; 40 otherwise; max of 2000 hours for year</t>
  </si>
  <si>
    <t>32 for machine; 30 for hand rolling</t>
  </si>
  <si>
    <t>PRA Substitution 127-1-02</t>
  </si>
  <si>
    <t>8/11/1933 wage and hour; then 8/24/33 for wage</t>
  </si>
  <si>
    <t>Cane Syrup Packing and Mixing</t>
  </si>
  <si>
    <t>40 male and 30 female in North; 25 for both in South</t>
  </si>
  <si>
    <t xml:space="preserve"> 8/4/33 (2,3, 7), modified 8/16/33 (2,3,6)</t>
  </si>
  <si>
    <t>PRA Substitution ???; Hoover reports dates but PRA subst not list</t>
  </si>
  <si>
    <t>Hours limit raise employment from 400k to 528k</t>
  </si>
  <si>
    <t>Rise from 272k to 325k</t>
  </si>
  <si>
    <t>Blast Furnaces and Steel Works</t>
  </si>
  <si>
    <t>No report</t>
  </si>
  <si>
    <t>PRA raised employment 7%, wages 15%.</t>
  </si>
  <si>
    <t>40 hours; leaf handlers 48 hours, 1.5 over 40 during leaf buying season</t>
  </si>
  <si>
    <t>40 cigarettes; 35 snuff and smoking; 25 plug; others 30</t>
  </si>
  <si>
    <t>NRA Code 549</t>
  </si>
  <si>
    <t>No change expected because NRA and PRA hours limits same</t>
  </si>
  <si>
    <t>NRA Code 467</t>
  </si>
  <si>
    <t>40 per week; 45 during 13 weeks of peak season 8/15-12/34</t>
  </si>
  <si>
    <t>6/25/1934; peak season hours 10/30/34</t>
  </si>
  <si>
    <t>25 to 34 depending on quality of cigar, use of machine, speed, region; piece rates set for bunch makers and rollers 12/3/34</t>
  </si>
  <si>
    <t>Weekly Hours Limits</t>
  </si>
  <si>
    <t>Hourly Earnings Limits</t>
  </si>
  <si>
    <t>none made</t>
  </si>
  <si>
    <t>37.5 in cities with pop. over 500k; 35 with pop 250-500k; 32.5 in smaller areas</t>
  </si>
  <si>
    <t xml:space="preserve">Sources:  NRA Codes, Volume 1, pp. 1-24,  171-184, 253-255, 533-534; vol. 2, pp.687-93;  volume 12, pp. 61-70, 660;  volume 18, p. 682; volume 19, p. 618; volume 21, pp. 95-106; PRA Substitutions in NRA 1933 Bulleting 6, 1933, pp. 26-7, 34-6, 100-1; Hoover 1936, pp. 100-1, 110, </t>
  </si>
  <si>
    <t>Don't have info; likely same as code.  Barkin reports some food industries with 48</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</si>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</sst>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64" fontId="0" fillId="0" borderId="0" xfId="0" applyNumberFormat="1"/>
    <xf numFmtId="17" fontId="0" fillId="0" borderId="0" xfId="0" applyNumberFormat="1"/>
    <xf numFmtId="3" fontId="0" fillId="0" borderId="0" xfId="0" applyNumberFormat="1"/>
    <xf numFmtId="16" fontId="0" fillId="0" borderId="0" xfId="0" applyNumberFormat="1"/>
    <xf numFmtId="0" fontId="0" fillId="0" borderId="0" xfId="0" applyAlignment="1">
      <alignment vertical="top" wrapText="1"/>
    </xf>
    <xf numFmtId="14" fontId="0" fillId="0" borderId="0" xfId="0" applyNumberForma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5</xdr:col>
      <xdr:colOff>388620</xdr:colOff>
      <xdr:row>33</xdr:row>
      <xdr:rowOff>114300</xdr:rowOff>
    </xdr:to>
    <xdr:pic>
      <xdr:nvPicPr>
        <xdr:cNvPr id="2" name="Picture 1">
          <a:extLst>
            <a:ext uri="{FF2B5EF4-FFF2-40B4-BE49-F238E27FC236}">
              <a16:creationId xmlns:a16="http://schemas.microsoft.com/office/drawing/2014/main" id="{1483138E-CDD7-4181-BA3A-E308DED21C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14400"/>
          <a:ext cx="3436620" cy="52349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17</xdr:col>
      <xdr:colOff>0</xdr:colOff>
      <xdr:row>10</xdr:row>
      <xdr:rowOff>0</xdr:rowOff>
    </xdr:from>
    <xdr:to>
      <xdr:col>17</xdr:col>
      <xdr:colOff>22860</xdr:colOff>
      <xdr:row>10</xdr:row>
      <xdr:rowOff>7620</xdr:rowOff>
    </xdr:to>
    <xdr:pic>
      <xdr:nvPicPr>
        <xdr:cNvPr id="2" name="Picture 1">
          <a:extLst>
            <a:ext uri="{FF2B5EF4-FFF2-40B4-BE49-F238E27FC236}">
              <a16:creationId xmlns:a16="http://schemas.microsoft.com/office/drawing/2014/main" id="{E421B312-215D-4309-AEC9-1B16A232D6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58200" y="1828800"/>
          <a:ext cx="22860" cy="7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8765E-914C-462C-8D9B-A82AF21FD2D5}">
  <dimension ref="A1:B1"/>
  <sheetViews>
    <sheetView workbookViewId="0">
      <selection activeCell="A6" sqref="A6"/>
    </sheetView>
  </sheetViews>
  <sheetFormatPr baseColWidth="10" defaultColWidth="8.83203125" defaultRowHeight="15" x14ac:dyDescent="0.2"/>
  <sheetData>
    <row r="1" spans="1:2" x14ac:dyDescent="0.2">
      <c r="A1" t="s">
        <v>0</v>
      </c>
      <c r="B1" t="s">
        <v>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AB99-3C6E-4337-B591-522AA8220C22}">
  <dimension ref="A1:G17"/>
  <sheetViews>
    <sheetView workbookViewId="0">
      <selection activeCell="C9" sqref="A1:G17"/>
    </sheetView>
  </sheetViews>
  <sheetFormatPr baseColWidth="10" defaultColWidth="19.83203125" defaultRowHeight="15" x14ac:dyDescent="0.2"/>
  <cols>
    <col min="1" max="3" width="19.83203125" style="6"/>
    <col min="4" max="4" width="11.5" style="6" customWidth="1"/>
    <col min="5" max="5" width="19.83203125" style="6"/>
    <col min="6" max="6" width="14.83203125" style="6" customWidth="1"/>
    <col min="7" max="16384" width="19.83203125" style="6"/>
  </cols>
  <sheetData>
    <row r="1" spans="1:7" x14ac:dyDescent="0.2">
      <c r="E1" s="8" t="s">
        <v>458</v>
      </c>
      <c r="F1" s="8"/>
    </row>
    <row r="2" spans="1:7" ht="32" x14ac:dyDescent="0.2">
      <c r="A2" s="6" t="s">
        <v>444</v>
      </c>
      <c r="B2" s="6" t="s">
        <v>456</v>
      </c>
      <c r="C2" s="6" t="s">
        <v>445</v>
      </c>
      <c r="D2" s="6" t="s">
        <v>446</v>
      </c>
      <c r="E2" s="6" t="s">
        <v>504</v>
      </c>
      <c r="F2" s="6" t="s">
        <v>505</v>
      </c>
      <c r="G2" s="6" t="s">
        <v>11</v>
      </c>
    </row>
    <row r="3" spans="1:7" ht="48" x14ac:dyDescent="0.2">
      <c r="A3" s="6" t="s">
        <v>449</v>
      </c>
      <c r="B3" s="6" t="s">
        <v>467</v>
      </c>
      <c r="C3" s="6" t="s">
        <v>468</v>
      </c>
      <c r="D3" s="7">
        <v>12252</v>
      </c>
      <c r="E3" s="6" t="s">
        <v>35</v>
      </c>
      <c r="F3" s="6" t="s">
        <v>469</v>
      </c>
      <c r="G3" s="6" t="s">
        <v>491</v>
      </c>
    </row>
    <row r="4" spans="1:7" ht="48" x14ac:dyDescent="0.2">
      <c r="A4" s="6" t="s">
        <v>448</v>
      </c>
      <c r="B4" s="6" t="s">
        <v>448</v>
      </c>
      <c r="C4" s="6" t="s">
        <v>485</v>
      </c>
      <c r="D4" s="7">
        <v>12267</v>
      </c>
      <c r="E4" s="6" t="s">
        <v>453</v>
      </c>
      <c r="F4" s="6" t="s">
        <v>454</v>
      </c>
      <c r="G4" s="6" t="s">
        <v>506</v>
      </c>
    </row>
    <row r="5" spans="1:7" ht="64" x14ac:dyDescent="0.2">
      <c r="A5" s="6" t="s">
        <v>447</v>
      </c>
      <c r="B5" s="6" t="s">
        <v>447</v>
      </c>
      <c r="C5" s="6" t="s">
        <v>490</v>
      </c>
      <c r="D5" s="7" t="s">
        <v>489</v>
      </c>
      <c r="E5" s="6" t="s">
        <v>509</v>
      </c>
      <c r="F5" s="6" t="s">
        <v>510</v>
      </c>
      <c r="G5" s="6" t="s">
        <v>506</v>
      </c>
    </row>
    <row r="6" spans="1:7" ht="48" x14ac:dyDescent="0.2">
      <c r="A6" s="6" t="s">
        <v>447</v>
      </c>
      <c r="B6" s="6" t="s">
        <v>447</v>
      </c>
      <c r="C6" s="6" t="s">
        <v>464</v>
      </c>
      <c r="D6" s="7">
        <v>12343</v>
      </c>
      <c r="E6" s="6" t="s">
        <v>465</v>
      </c>
      <c r="F6" s="6" t="s">
        <v>466</v>
      </c>
      <c r="G6" s="6" t="s">
        <v>424</v>
      </c>
    </row>
    <row r="7" spans="1:7" ht="49.25" customHeight="1" x14ac:dyDescent="0.2">
      <c r="A7" s="6" t="s">
        <v>493</v>
      </c>
      <c r="B7" s="6" t="s">
        <v>382</v>
      </c>
      <c r="C7" s="6" t="s">
        <v>470</v>
      </c>
      <c r="D7" s="7">
        <v>12285</v>
      </c>
      <c r="E7" s="6" t="s">
        <v>471</v>
      </c>
      <c r="F7" s="6" t="s">
        <v>472</v>
      </c>
      <c r="G7" s="6" t="s">
        <v>492</v>
      </c>
    </row>
    <row r="8" spans="1:7" ht="48" x14ac:dyDescent="0.2">
      <c r="A8" s="6" t="s">
        <v>450</v>
      </c>
      <c r="B8" s="6" t="s">
        <v>473</v>
      </c>
      <c r="C8" s="6" t="s">
        <v>474</v>
      </c>
      <c r="D8" s="7">
        <v>12302</v>
      </c>
      <c r="E8" s="6" t="s">
        <v>480</v>
      </c>
      <c r="F8" s="6" t="s">
        <v>475</v>
      </c>
      <c r="G8" s="6" t="s">
        <v>494</v>
      </c>
    </row>
    <row r="9" spans="1:7" ht="64" x14ac:dyDescent="0.2">
      <c r="A9" s="6" t="s">
        <v>451</v>
      </c>
      <c r="B9" s="6" t="s">
        <v>476</v>
      </c>
      <c r="C9" s="6" t="s">
        <v>477</v>
      </c>
      <c r="D9" s="7">
        <v>12281</v>
      </c>
      <c r="E9" s="6" t="s">
        <v>479</v>
      </c>
      <c r="F9" s="6" t="s">
        <v>478</v>
      </c>
      <c r="G9" s="6" t="s">
        <v>495</v>
      </c>
    </row>
    <row r="10" spans="1:7" ht="64" x14ac:dyDescent="0.2">
      <c r="A10" s="6" t="s">
        <v>451</v>
      </c>
      <c r="B10" s="6" t="s">
        <v>476</v>
      </c>
      <c r="C10" s="6" t="s">
        <v>498</v>
      </c>
      <c r="D10" s="7">
        <v>12833</v>
      </c>
      <c r="E10" s="6" t="s">
        <v>496</v>
      </c>
      <c r="F10" s="6" t="s">
        <v>497</v>
      </c>
      <c r="G10" s="6" t="s">
        <v>499</v>
      </c>
    </row>
    <row r="11" spans="1:7" ht="80" x14ac:dyDescent="0.2">
      <c r="A11" s="6" t="s">
        <v>451</v>
      </c>
      <c r="B11" s="6" t="s">
        <v>481</v>
      </c>
      <c r="C11" s="6" t="s">
        <v>482</v>
      </c>
      <c r="D11" s="7" t="s">
        <v>486</v>
      </c>
      <c r="E11" s="6" t="s">
        <v>483</v>
      </c>
      <c r="F11" s="6" t="s">
        <v>484</v>
      </c>
      <c r="G11" s="6" t="s">
        <v>506</v>
      </c>
    </row>
    <row r="12" spans="1:7" ht="128" x14ac:dyDescent="0.2">
      <c r="A12" s="6" t="s">
        <v>451</v>
      </c>
      <c r="B12" s="6" t="s">
        <v>481</v>
      </c>
      <c r="C12" s="6" t="s">
        <v>500</v>
      </c>
      <c r="D12" s="7" t="s">
        <v>502</v>
      </c>
      <c r="E12" s="6" t="s">
        <v>501</v>
      </c>
      <c r="F12" s="6" t="s">
        <v>503</v>
      </c>
      <c r="G12" s="6" t="s">
        <v>506</v>
      </c>
    </row>
    <row r="13" spans="1:7" ht="64" x14ac:dyDescent="0.2">
      <c r="A13" s="6" t="s">
        <v>455</v>
      </c>
      <c r="B13" s="6" t="s">
        <v>457</v>
      </c>
      <c r="C13" s="6" t="s">
        <v>452</v>
      </c>
      <c r="D13" s="7">
        <v>12291</v>
      </c>
      <c r="E13" s="6" t="s">
        <v>459</v>
      </c>
      <c r="F13" s="6" t="s">
        <v>454</v>
      </c>
    </row>
    <row r="14" spans="1:7" ht="48" x14ac:dyDescent="0.2">
      <c r="A14" s="6" t="s">
        <v>455</v>
      </c>
      <c r="B14" s="6" t="s">
        <v>460</v>
      </c>
      <c r="C14" s="6" t="s">
        <v>452</v>
      </c>
      <c r="D14" s="7">
        <v>12285</v>
      </c>
      <c r="E14" s="6" t="s">
        <v>463</v>
      </c>
      <c r="F14" s="6" t="s">
        <v>454</v>
      </c>
    </row>
    <row r="15" spans="1:7" ht="64" x14ac:dyDescent="0.2">
      <c r="A15" s="6" t="s">
        <v>455</v>
      </c>
      <c r="B15" s="6" t="s">
        <v>487</v>
      </c>
      <c r="C15" s="6" t="s">
        <v>452</v>
      </c>
      <c r="D15" s="7">
        <v>12304</v>
      </c>
      <c r="E15" s="6" t="s">
        <v>463</v>
      </c>
      <c r="F15" s="6" t="s">
        <v>488</v>
      </c>
    </row>
    <row r="16" spans="1:7" ht="80" x14ac:dyDescent="0.2">
      <c r="A16" s="6" t="s">
        <v>455</v>
      </c>
      <c r="B16" s="6" t="s">
        <v>437</v>
      </c>
      <c r="C16" s="6" t="s">
        <v>461</v>
      </c>
      <c r="D16" s="7">
        <v>12347</v>
      </c>
      <c r="E16" s="6" t="s">
        <v>462</v>
      </c>
      <c r="F16" s="6" t="s">
        <v>507</v>
      </c>
    </row>
    <row r="17" spans="1:6" ht="49.25" customHeight="1" x14ac:dyDescent="0.2">
      <c r="A17" s="8" t="s">
        <v>508</v>
      </c>
      <c r="B17" s="8"/>
      <c r="C17" s="8"/>
      <c r="D17" s="8"/>
      <c r="E17" s="8"/>
      <c r="F17" s="8"/>
    </row>
  </sheetData>
  <mergeCells count="2">
    <mergeCell ref="E1:F1"/>
    <mergeCell ref="A17:F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9A0C8-9D56-4138-9BCB-66641D3391D0}">
  <dimension ref="A1:Z128"/>
  <sheetViews>
    <sheetView tabSelected="1" workbookViewId="0">
      <pane xSplit="6" ySplit="1" topLeftCell="G2" activePane="bottomRight" state="frozen"/>
      <selection pane="topRight" activeCell="E1" sqref="E1"/>
      <selection pane="bottomLeft" activeCell="A2" sqref="A2"/>
      <selection pane="bottomRight" activeCell="A112" sqref="A112"/>
    </sheetView>
  </sheetViews>
  <sheetFormatPr baseColWidth="10" defaultColWidth="8.83203125" defaultRowHeight="15" x14ac:dyDescent="0.2"/>
  <cols>
    <col min="3" max="3" width="28.6640625" customWidth="1"/>
    <col min="4" max="4" width="10.5" bestFit="1" customWidth="1"/>
    <col min="5" max="5" width="3.5" customWidth="1"/>
    <col min="6" max="6" width="5.83203125" customWidth="1"/>
    <col min="7" max="7" width="13.6640625" customWidth="1"/>
    <col min="8" max="8" width="5.83203125" customWidth="1"/>
    <col min="9" max="9" width="8.33203125" customWidth="1"/>
  </cols>
  <sheetData>
    <row r="1" spans="1:26" x14ac:dyDescent="0.2">
      <c r="A1" t="s">
        <v>292</v>
      </c>
      <c r="B1" t="s">
        <v>0</v>
      </c>
      <c r="C1" t="s">
        <v>1</v>
      </c>
      <c r="D1" t="s">
        <v>138</v>
      </c>
      <c r="E1" t="s">
        <v>4</v>
      </c>
      <c r="F1" t="s">
        <v>5</v>
      </c>
      <c r="G1" t="s">
        <v>14</v>
      </c>
      <c r="H1" t="s">
        <v>16</v>
      </c>
      <c r="I1" t="s">
        <v>7</v>
      </c>
      <c r="J1" t="s">
        <v>2</v>
      </c>
      <c r="K1" t="s">
        <v>8</v>
      </c>
      <c r="L1" t="s">
        <v>9</v>
      </c>
      <c r="M1" t="s">
        <v>10</v>
      </c>
      <c r="N1" t="s">
        <v>8</v>
      </c>
      <c r="O1" t="s">
        <v>9</v>
      </c>
      <c r="P1" t="s">
        <v>10</v>
      </c>
      <c r="Q1" t="s">
        <v>11</v>
      </c>
      <c r="R1" t="s">
        <v>19</v>
      </c>
      <c r="V1" s="2" t="s">
        <v>139</v>
      </c>
      <c r="W1" s="2" t="s">
        <v>140</v>
      </c>
      <c r="X1" s="2" t="s">
        <v>141</v>
      </c>
      <c r="Y1" s="2" t="s">
        <v>142</v>
      </c>
      <c r="Z1" s="2" t="s">
        <v>143</v>
      </c>
    </row>
    <row r="2" spans="1:26" x14ac:dyDescent="0.2">
      <c r="B2">
        <v>19</v>
      </c>
      <c r="C2" t="s">
        <v>3</v>
      </c>
      <c r="E2">
        <v>1</v>
      </c>
      <c r="F2" t="s">
        <v>6</v>
      </c>
      <c r="I2">
        <v>56</v>
      </c>
      <c r="J2">
        <v>4700</v>
      </c>
      <c r="K2">
        <v>1931</v>
      </c>
      <c r="L2">
        <v>50</v>
      </c>
      <c r="M2">
        <v>3734</v>
      </c>
      <c r="N2">
        <v>1933</v>
      </c>
      <c r="O2">
        <v>36</v>
      </c>
      <c r="P2">
        <f>36/50*3734</f>
        <v>2688.48</v>
      </c>
      <c r="Q2" t="s">
        <v>12</v>
      </c>
    </row>
    <row r="3" spans="1:26" x14ac:dyDescent="0.2">
      <c r="B3">
        <v>20</v>
      </c>
      <c r="C3" t="s">
        <v>13</v>
      </c>
      <c r="E3">
        <v>1</v>
      </c>
      <c r="F3" t="s">
        <v>24</v>
      </c>
      <c r="G3" t="s">
        <v>15</v>
      </c>
      <c r="H3" t="s">
        <v>17</v>
      </c>
      <c r="I3">
        <v>58</v>
      </c>
      <c r="J3">
        <v>5458</v>
      </c>
      <c r="K3">
        <v>1931</v>
      </c>
      <c r="L3">
        <v>53</v>
      </c>
      <c r="M3">
        <v>4728</v>
      </c>
      <c r="N3" t="s">
        <v>18</v>
      </c>
      <c r="P3">
        <v>4387</v>
      </c>
      <c r="Q3" t="s">
        <v>22</v>
      </c>
      <c r="R3" t="s">
        <v>20</v>
      </c>
      <c r="S3" t="s">
        <v>21</v>
      </c>
    </row>
    <row r="4" spans="1:26" x14ac:dyDescent="0.2">
      <c r="B4">
        <v>21</v>
      </c>
      <c r="C4" t="s">
        <v>23</v>
      </c>
      <c r="E4">
        <v>1</v>
      </c>
      <c r="F4" t="s">
        <v>25</v>
      </c>
      <c r="G4" t="s">
        <v>28</v>
      </c>
      <c r="H4" t="s">
        <v>26</v>
      </c>
      <c r="J4">
        <v>52000</v>
      </c>
      <c r="Q4" t="s">
        <v>32</v>
      </c>
      <c r="R4" t="s">
        <v>29</v>
      </c>
      <c r="S4" t="s">
        <v>30</v>
      </c>
      <c r="T4" t="s">
        <v>27</v>
      </c>
      <c r="U4" t="s">
        <v>31</v>
      </c>
      <c r="V4" s="2">
        <v>1.6933207902163572</v>
      </c>
      <c r="W4" s="2">
        <v>-17.286652078774633</v>
      </c>
      <c r="X4" s="2">
        <v>22.276029055690081</v>
      </c>
      <c r="Y4" s="2">
        <v>-2.840059790732441</v>
      </c>
      <c r="Z4" s="2">
        <v>-15.886049762140509</v>
      </c>
    </row>
    <row r="5" spans="1:26" x14ac:dyDescent="0.2">
      <c r="B5">
        <v>22</v>
      </c>
      <c r="C5" t="s">
        <v>33</v>
      </c>
      <c r="E5">
        <v>1</v>
      </c>
      <c r="F5">
        <v>300</v>
      </c>
      <c r="G5" t="s">
        <v>35</v>
      </c>
      <c r="H5" t="s">
        <v>34</v>
      </c>
      <c r="N5">
        <v>1933</v>
      </c>
      <c r="P5">
        <v>3500</v>
      </c>
      <c r="Q5" t="s">
        <v>38</v>
      </c>
      <c r="R5" t="s">
        <v>36</v>
      </c>
      <c r="S5" t="s">
        <v>37</v>
      </c>
    </row>
    <row r="6" spans="1:26" x14ac:dyDescent="0.2">
      <c r="B6">
        <v>23</v>
      </c>
      <c r="C6" t="s">
        <v>39</v>
      </c>
      <c r="E6">
        <v>1</v>
      </c>
      <c r="F6" t="s">
        <v>44</v>
      </c>
      <c r="G6" t="s">
        <v>41</v>
      </c>
      <c r="R6" t="s">
        <v>42</v>
      </c>
      <c r="S6" t="s">
        <v>40</v>
      </c>
      <c r="V6" s="2">
        <v>-10.060711188204674</v>
      </c>
      <c r="W6" s="2">
        <v>-27.463312368972748</v>
      </c>
      <c r="X6" s="2">
        <v>52.988047808764918</v>
      </c>
      <c r="Y6" s="2">
        <v>10.016977928692716</v>
      </c>
      <c r="Z6" s="2">
        <v>-34.76101901702058</v>
      </c>
    </row>
    <row r="7" spans="1:26" x14ac:dyDescent="0.2">
      <c r="B7">
        <v>24</v>
      </c>
      <c r="C7" t="s">
        <v>43</v>
      </c>
      <c r="E7">
        <v>1</v>
      </c>
      <c r="F7" t="s">
        <v>49</v>
      </c>
      <c r="G7" t="s">
        <v>35</v>
      </c>
      <c r="H7" t="s">
        <v>46</v>
      </c>
      <c r="R7" t="s">
        <v>45</v>
      </c>
      <c r="V7" s="2">
        <v>18.36734693877553</v>
      </c>
      <c r="W7" s="2">
        <v>-7.4999999999999956</v>
      </c>
      <c r="X7" s="2">
        <v>28.888888888888896</v>
      </c>
      <c r="Y7" s="2">
        <v>25.559566787003618</v>
      </c>
      <c r="Z7" s="2">
        <v>9.4897959183673599</v>
      </c>
    </row>
    <row r="8" spans="1:26" x14ac:dyDescent="0.2">
      <c r="B8">
        <v>25</v>
      </c>
      <c r="C8" t="s">
        <v>47</v>
      </c>
      <c r="E8">
        <v>1</v>
      </c>
      <c r="F8" t="s">
        <v>48</v>
      </c>
      <c r="G8" t="s">
        <v>50</v>
      </c>
      <c r="H8" t="s">
        <v>51</v>
      </c>
      <c r="I8">
        <v>69</v>
      </c>
      <c r="K8">
        <v>1931</v>
      </c>
      <c r="L8">
        <v>37</v>
      </c>
      <c r="Q8" t="s">
        <v>52</v>
      </c>
    </row>
    <row r="9" spans="1:26" x14ac:dyDescent="0.2">
      <c r="B9">
        <v>26</v>
      </c>
      <c r="C9" t="s">
        <v>53</v>
      </c>
      <c r="E9">
        <v>1</v>
      </c>
      <c r="F9" t="s">
        <v>54</v>
      </c>
      <c r="G9">
        <v>40</v>
      </c>
      <c r="H9" t="s">
        <v>55</v>
      </c>
      <c r="Q9" t="s">
        <v>57</v>
      </c>
      <c r="R9" t="s">
        <v>56</v>
      </c>
    </row>
    <row r="10" spans="1:26" x14ac:dyDescent="0.2">
      <c r="B10">
        <v>27</v>
      </c>
      <c r="C10" t="s">
        <v>58</v>
      </c>
      <c r="E10">
        <v>1</v>
      </c>
      <c r="F10" t="s">
        <v>59</v>
      </c>
      <c r="G10" t="s">
        <v>65</v>
      </c>
      <c r="H10" t="s">
        <v>64</v>
      </c>
      <c r="I10">
        <v>9710</v>
      </c>
      <c r="K10">
        <v>1932</v>
      </c>
      <c r="L10">
        <v>8400</v>
      </c>
      <c r="N10">
        <v>1933</v>
      </c>
      <c r="O10">
        <v>8700</v>
      </c>
      <c r="P10" t="s">
        <v>62</v>
      </c>
      <c r="R10" t="s">
        <v>60</v>
      </c>
      <c r="S10" t="s">
        <v>61</v>
      </c>
      <c r="T10" t="s">
        <v>63</v>
      </c>
    </row>
    <row r="11" spans="1:26" x14ac:dyDescent="0.2">
      <c r="B11">
        <v>30</v>
      </c>
      <c r="C11" t="s">
        <v>66</v>
      </c>
      <c r="E11">
        <v>1</v>
      </c>
      <c r="F11" t="s">
        <v>67</v>
      </c>
      <c r="G11" t="s">
        <v>68</v>
      </c>
      <c r="H11" t="s">
        <v>69</v>
      </c>
      <c r="J11" t="s">
        <v>73</v>
      </c>
      <c r="N11" t="s">
        <v>72</v>
      </c>
      <c r="O11">
        <v>3888</v>
      </c>
      <c r="Q11" t="s">
        <v>71</v>
      </c>
      <c r="R11" t="s">
        <v>70</v>
      </c>
      <c r="S11" t="s">
        <v>74</v>
      </c>
    </row>
    <row r="12" spans="1:26" x14ac:dyDescent="0.2">
      <c r="B12">
        <v>42</v>
      </c>
      <c r="C12" t="s">
        <v>75</v>
      </c>
      <c r="E12">
        <v>1</v>
      </c>
      <c r="F12" t="s">
        <v>76</v>
      </c>
      <c r="G12">
        <v>40</v>
      </c>
      <c r="H12" t="s">
        <v>77</v>
      </c>
      <c r="R12" t="s">
        <v>78</v>
      </c>
      <c r="S12" t="s">
        <v>79</v>
      </c>
      <c r="T12" t="s">
        <v>80</v>
      </c>
    </row>
    <row r="13" spans="1:26" x14ac:dyDescent="0.2">
      <c r="A13" t="s">
        <v>359</v>
      </c>
      <c r="B13">
        <v>44</v>
      </c>
      <c r="C13" t="s">
        <v>81</v>
      </c>
      <c r="E13">
        <v>1</v>
      </c>
      <c r="F13" t="s">
        <v>82</v>
      </c>
      <c r="G13" t="s">
        <v>35</v>
      </c>
      <c r="H13" t="s">
        <v>83</v>
      </c>
      <c r="J13">
        <v>225000</v>
      </c>
      <c r="Q13" t="s">
        <v>84</v>
      </c>
      <c r="T13" t="s">
        <v>85</v>
      </c>
      <c r="V13" s="2">
        <v>-14.25925925925926</v>
      </c>
      <c r="W13" s="2">
        <v>-29.979879275653932</v>
      </c>
      <c r="X13" s="2">
        <v>36.389684813753597</v>
      </c>
      <c r="Y13" s="2">
        <v>-9.7222222222222214</v>
      </c>
      <c r="Z13" s="2">
        <v>-39.964229823384777</v>
      </c>
    </row>
    <row r="14" spans="1:26" x14ac:dyDescent="0.2">
      <c r="B14">
        <v>45</v>
      </c>
      <c r="C14" t="s">
        <v>86</v>
      </c>
      <c r="E14">
        <v>1</v>
      </c>
      <c r="F14" t="s">
        <v>87</v>
      </c>
      <c r="G14" t="s">
        <v>88</v>
      </c>
      <c r="H14" t="s">
        <v>89</v>
      </c>
      <c r="Q14" t="s">
        <v>90</v>
      </c>
    </row>
    <row r="15" spans="1:26" x14ac:dyDescent="0.2">
      <c r="B15">
        <v>47</v>
      </c>
      <c r="C15" t="s">
        <v>91</v>
      </c>
      <c r="E15">
        <v>1</v>
      </c>
      <c r="F15">
        <v>576</v>
      </c>
      <c r="R15" t="s">
        <v>92</v>
      </c>
    </row>
    <row r="16" spans="1:26" x14ac:dyDescent="0.2">
      <c r="A16" t="s">
        <v>358</v>
      </c>
      <c r="B16">
        <v>48</v>
      </c>
      <c r="C16" t="s">
        <v>93</v>
      </c>
      <c r="E16">
        <v>1</v>
      </c>
      <c r="F16" t="s">
        <v>94</v>
      </c>
      <c r="G16" t="s">
        <v>35</v>
      </c>
      <c r="H16" t="s">
        <v>98</v>
      </c>
      <c r="K16">
        <v>1931</v>
      </c>
      <c r="L16" t="s">
        <v>95</v>
      </c>
      <c r="M16">
        <v>109000</v>
      </c>
      <c r="R16" t="s">
        <v>96</v>
      </c>
      <c r="S16" t="s">
        <v>97</v>
      </c>
      <c r="V16" s="2">
        <v>-5.2486187845303789</v>
      </c>
      <c r="W16" s="2">
        <v>-12.285012285012286</v>
      </c>
      <c r="X16" s="2">
        <v>33.738601823708201</v>
      </c>
      <c r="Y16" s="2">
        <v>13.718411552346566</v>
      </c>
      <c r="Z16" s="2">
        <v>-16.888837607069629</v>
      </c>
    </row>
    <row r="17" spans="2:26" x14ac:dyDescent="0.2">
      <c r="B17">
        <v>49</v>
      </c>
      <c r="C17" t="s">
        <v>99</v>
      </c>
      <c r="E17">
        <v>1</v>
      </c>
      <c r="F17" t="s">
        <v>106</v>
      </c>
      <c r="H17" t="s">
        <v>100</v>
      </c>
      <c r="Q17" t="s">
        <v>102</v>
      </c>
      <c r="R17" t="s">
        <v>101</v>
      </c>
    </row>
    <row r="18" spans="2:26" x14ac:dyDescent="0.2">
      <c r="B18">
        <v>54</v>
      </c>
      <c r="C18" t="s">
        <v>103</v>
      </c>
      <c r="E18">
        <v>1</v>
      </c>
      <c r="F18" t="s">
        <v>105</v>
      </c>
      <c r="G18">
        <v>40</v>
      </c>
      <c r="H18" t="s">
        <v>104</v>
      </c>
      <c r="N18">
        <v>1933</v>
      </c>
      <c r="P18">
        <v>50000</v>
      </c>
      <c r="V18" s="2">
        <v>-2.6978417266187105</v>
      </c>
      <c r="W18" s="2">
        <v>-19.95073891625616</v>
      </c>
      <c r="X18" s="2">
        <v>46.938775510204088</v>
      </c>
      <c r="Y18" s="2">
        <v>13.23671497584542</v>
      </c>
      <c r="Z18" s="2">
        <v>-22.110341283623359</v>
      </c>
    </row>
    <row r="19" spans="2:26" x14ac:dyDescent="0.2">
      <c r="B19">
        <v>58</v>
      </c>
      <c r="C19" t="s">
        <v>107</v>
      </c>
      <c r="E19">
        <v>2</v>
      </c>
      <c r="F19">
        <v>1</v>
      </c>
      <c r="Q19" t="s">
        <v>109</v>
      </c>
      <c r="R19" t="s">
        <v>108</v>
      </c>
    </row>
    <row r="20" spans="2:26" x14ac:dyDescent="0.2">
      <c r="B20">
        <v>59</v>
      </c>
      <c r="C20" t="s">
        <v>110</v>
      </c>
      <c r="E20">
        <v>2</v>
      </c>
      <c r="F20">
        <v>14</v>
      </c>
      <c r="H20">
        <v>32.5</v>
      </c>
      <c r="J20" t="s">
        <v>113</v>
      </c>
      <c r="K20">
        <v>1931</v>
      </c>
      <c r="M20" t="s">
        <v>114</v>
      </c>
      <c r="Q20" t="s">
        <v>112</v>
      </c>
      <c r="R20" t="s">
        <v>111</v>
      </c>
    </row>
    <row r="21" spans="2:26" x14ac:dyDescent="0.2">
      <c r="B21">
        <v>60</v>
      </c>
      <c r="C21" t="s">
        <v>115</v>
      </c>
      <c r="E21">
        <v>2</v>
      </c>
      <c r="F21">
        <v>29</v>
      </c>
      <c r="Q21" t="s">
        <v>116</v>
      </c>
      <c r="V21" s="2">
        <v>29.875986471251402</v>
      </c>
      <c r="W21" s="2">
        <v>-10.476190476190473</v>
      </c>
      <c r="X21" s="2">
        <v>19.548872180451138</v>
      </c>
      <c r="Y21" s="2">
        <v>3.8274182324286699</v>
      </c>
      <c r="Z21" s="2">
        <v>16.269930745691742</v>
      </c>
    </row>
    <row r="22" spans="2:26" x14ac:dyDescent="0.2">
      <c r="B22">
        <v>61</v>
      </c>
      <c r="C22" t="s">
        <v>117</v>
      </c>
      <c r="E22">
        <v>2</v>
      </c>
      <c r="F22">
        <v>48</v>
      </c>
      <c r="G22" t="s">
        <v>118</v>
      </c>
      <c r="J22" t="s">
        <v>120</v>
      </c>
      <c r="Q22" t="s">
        <v>119</v>
      </c>
    </row>
    <row r="23" spans="2:26" x14ac:dyDescent="0.2">
      <c r="B23">
        <v>62</v>
      </c>
      <c r="C23" t="s">
        <v>121</v>
      </c>
      <c r="E23">
        <v>2</v>
      </c>
      <c r="F23" t="s">
        <v>128</v>
      </c>
      <c r="G23" t="s">
        <v>122</v>
      </c>
      <c r="H23" t="s">
        <v>123</v>
      </c>
      <c r="J23" t="s">
        <v>126</v>
      </c>
      <c r="K23">
        <v>1932</v>
      </c>
      <c r="M23">
        <v>1100</v>
      </c>
      <c r="Q23" t="s">
        <v>124</v>
      </c>
      <c r="R23" t="s">
        <v>125</v>
      </c>
    </row>
    <row r="24" spans="2:26" x14ac:dyDescent="0.2">
      <c r="B24">
        <v>63</v>
      </c>
      <c r="C24" t="s">
        <v>127</v>
      </c>
      <c r="E24">
        <v>2</v>
      </c>
      <c r="F24">
        <v>68</v>
      </c>
      <c r="G24" t="s">
        <v>129</v>
      </c>
      <c r="H24" t="s">
        <v>131</v>
      </c>
      <c r="Q24" t="s">
        <v>130</v>
      </c>
    </row>
    <row r="25" spans="2:26" x14ac:dyDescent="0.2">
      <c r="B25">
        <v>64</v>
      </c>
      <c r="C25" t="s">
        <v>132</v>
      </c>
      <c r="D25" s="1">
        <v>12358</v>
      </c>
      <c r="E25">
        <v>2</v>
      </c>
      <c r="F25">
        <v>85</v>
      </c>
      <c r="G25">
        <v>35</v>
      </c>
      <c r="J25">
        <v>88223</v>
      </c>
      <c r="K25">
        <v>1931</v>
      </c>
      <c r="M25">
        <v>79724</v>
      </c>
      <c r="N25">
        <v>1932</v>
      </c>
      <c r="O25">
        <v>66344</v>
      </c>
      <c r="Q25" t="s">
        <v>135</v>
      </c>
      <c r="R25" t="s">
        <v>133</v>
      </c>
      <c r="S25" t="s">
        <v>134</v>
      </c>
      <c r="V25" s="2">
        <v>31.917808219178067</v>
      </c>
      <c r="W25" s="2">
        <v>-26.17647058823529</v>
      </c>
      <c r="X25" s="2">
        <v>27.378640776699026</v>
      </c>
      <c r="Y25" s="2">
        <v>11.196682464454977</v>
      </c>
      <c r="Z25" s="2">
        <v>-2.6136180499596984</v>
      </c>
    </row>
    <row r="26" spans="2:26" x14ac:dyDescent="0.2">
      <c r="B26">
        <v>65</v>
      </c>
      <c r="C26" t="s">
        <v>136</v>
      </c>
      <c r="D26" s="1">
        <v>12350</v>
      </c>
      <c r="E26">
        <v>2</v>
      </c>
      <c r="F26">
        <v>100</v>
      </c>
      <c r="G26">
        <v>40</v>
      </c>
      <c r="Q26" t="s">
        <v>137</v>
      </c>
      <c r="R26" t="s">
        <v>137</v>
      </c>
    </row>
    <row r="27" spans="2:26" x14ac:dyDescent="0.2">
      <c r="B27">
        <v>67</v>
      </c>
      <c r="C27" t="s">
        <v>144</v>
      </c>
      <c r="D27" s="1">
        <v>12352</v>
      </c>
      <c r="E27">
        <v>2</v>
      </c>
      <c r="F27" t="s">
        <v>221</v>
      </c>
      <c r="G27" t="s">
        <v>443</v>
      </c>
      <c r="J27" t="s">
        <v>222</v>
      </c>
      <c r="N27">
        <v>1932</v>
      </c>
      <c r="O27">
        <v>21000</v>
      </c>
      <c r="Q27" t="s">
        <v>223</v>
      </c>
      <c r="R27" t="s">
        <v>220</v>
      </c>
      <c r="V27" s="2">
        <v>52.75813295615275</v>
      </c>
      <c r="W27" s="2">
        <v>-17.620137299771176</v>
      </c>
      <c r="X27" s="2">
        <v>27.622377622377627</v>
      </c>
      <c r="Y27" s="2">
        <v>-6.028938906752412</v>
      </c>
      <c r="Z27" s="2">
        <v>25.841940192711643</v>
      </c>
    </row>
    <row r="28" spans="2:26" x14ac:dyDescent="0.2">
      <c r="B28">
        <v>71</v>
      </c>
      <c r="C28" t="s">
        <v>145</v>
      </c>
      <c r="D28" s="1">
        <v>12354</v>
      </c>
      <c r="E28">
        <v>2</v>
      </c>
      <c r="F28" t="s">
        <v>224</v>
      </c>
      <c r="N28">
        <v>1933</v>
      </c>
      <c r="O28">
        <v>18000</v>
      </c>
      <c r="Q28" t="s">
        <v>225</v>
      </c>
      <c r="R28" t="s">
        <v>226</v>
      </c>
      <c r="V28" s="2">
        <v>-0.18570102135562205</v>
      </c>
      <c r="W28" s="2">
        <v>-15.022421524663688</v>
      </c>
      <c r="X28" s="2">
        <v>12.133891213389125</v>
      </c>
      <c r="Y28" s="2">
        <v>-5.6377079482439862</v>
      </c>
      <c r="Z28" s="2">
        <v>-15.180225755815634</v>
      </c>
    </row>
    <row r="29" spans="2:26" x14ac:dyDescent="0.2">
      <c r="B29">
        <v>81</v>
      </c>
      <c r="C29" t="s">
        <v>146</v>
      </c>
      <c r="D29" s="1">
        <v>12359</v>
      </c>
      <c r="E29">
        <v>2</v>
      </c>
      <c r="F29" t="s">
        <v>227</v>
      </c>
      <c r="G29" t="s">
        <v>228</v>
      </c>
      <c r="H29" t="s">
        <v>229</v>
      </c>
      <c r="J29" t="s">
        <v>231</v>
      </c>
      <c r="K29" t="s">
        <v>232</v>
      </c>
      <c r="Q29" t="s">
        <v>230</v>
      </c>
      <c r="V29" s="2">
        <v>5.1837888784165953</v>
      </c>
      <c r="W29" s="2">
        <v>-22.115384615384627</v>
      </c>
      <c r="X29" s="2">
        <v>18.222222222222229</v>
      </c>
      <c r="Y29" s="2">
        <v>-8.3816552451238753</v>
      </c>
      <c r="Z29" s="2">
        <v>-18.078010585079397</v>
      </c>
    </row>
    <row r="30" spans="2:26" x14ac:dyDescent="0.2">
      <c r="B30">
        <v>82</v>
      </c>
      <c r="C30" t="s">
        <v>147</v>
      </c>
      <c r="D30" s="1">
        <v>12359</v>
      </c>
      <c r="E30">
        <v>2</v>
      </c>
      <c r="F30" t="s">
        <v>233</v>
      </c>
      <c r="G30">
        <v>40</v>
      </c>
      <c r="H30" t="s">
        <v>234</v>
      </c>
      <c r="J30" t="s">
        <v>237</v>
      </c>
      <c r="K30" s="3">
        <v>12055</v>
      </c>
      <c r="M30" t="s">
        <v>238</v>
      </c>
      <c r="N30" s="3">
        <v>12298</v>
      </c>
      <c r="O30" t="s">
        <v>239</v>
      </c>
      <c r="Q30" t="s">
        <v>236</v>
      </c>
      <c r="R30" t="s">
        <v>235</v>
      </c>
      <c r="V30" s="2">
        <v>9.9902056807051878</v>
      </c>
      <c r="W30" s="2">
        <v>-17.45562130177515</v>
      </c>
      <c r="X30" s="2">
        <v>14.533622559652915</v>
      </c>
      <c r="Y30" s="2">
        <v>-9.0428655314151563</v>
      </c>
      <c r="Z30" s="2">
        <v>-9.2092680919622971</v>
      </c>
    </row>
    <row r="31" spans="2:26" x14ac:dyDescent="0.2">
      <c r="B31">
        <v>83</v>
      </c>
      <c r="C31" t="s">
        <v>148</v>
      </c>
      <c r="D31" s="1">
        <v>12340</v>
      </c>
      <c r="E31">
        <v>2</v>
      </c>
      <c r="F31" t="s">
        <v>240</v>
      </c>
      <c r="G31">
        <v>40</v>
      </c>
      <c r="H31" t="s">
        <v>241</v>
      </c>
      <c r="J31" t="s">
        <v>242</v>
      </c>
      <c r="K31">
        <v>1932</v>
      </c>
      <c r="M31">
        <v>13500</v>
      </c>
      <c r="N31">
        <v>1933</v>
      </c>
      <c r="P31" t="s">
        <v>244</v>
      </c>
      <c r="Q31" t="s">
        <v>245</v>
      </c>
      <c r="R31" t="s">
        <v>243</v>
      </c>
      <c r="S31" t="s">
        <v>246</v>
      </c>
      <c r="V31" s="2">
        <v>10.56910569105689</v>
      </c>
      <c r="W31" s="2">
        <v>-12.072892938496583</v>
      </c>
      <c r="X31" s="2">
        <v>11.842105263157897</v>
      </c>
      <c r="Y31" s="2">
        <v>-6.4215914378780825</v>
      </c>
      <c r="Z31" s="2">
        <v>-2.7797840620775394</v>
      </c>
    </row>
    <row r="32" spans="2:26" x14ac:dyDescent="0.2">
      <c r="B32">
        <v>84</v>
      </c>
      <c r="C32" t="s">
        <v>149</v>
      </c>
      <c r="D32" s="1">
        <v>12358</v>
      </c>
      <c r="E32">
        <v>2</v>
      </c>
      <c r="F32" t="s">
        <v>247</v>
      </c>
      <c r="G32">
        <v>40</v>
      </c>
      <c r="H32" t="s">
        <v>248</v>
      </c>
      <c r="J32">
        <v>350000</v>
      </c>
      <c r="K32" t="s">
        <v>251</v>
      </c>
      <c r="M32" s="4">
        <v>204500</v>
      </c>
      <c r="N32" s="3">
        <v>12328</v>
      </c>
      <c r="O32">
        <v>313752</v>
      </c>
      <c r="Q32" t="s">
        <v>250</v>
      </c>
      <c r="R32" t="s">
        <v>249</v>
      </c>
      <c r="S32" t="s">
        <v>252</v>
      </c>
      <c r="V32" s="2">
        <v>14.945919370698135</v>
      </c>
      <c r="W32" s="2">
        <v>-15.456674473067922</v>
      </c>
      <c r="X32" s="2">
        <v>15.201900237529697</v>
      </c>
      <c r="Y32" s="2">
        <v>-2.8074115665356558</v>
      </c>
      <c r="Z32" s="2">
        <v>-2.8208972065058013</v>
      </c>
    </row>
    <row r="33" spans="2:26" x14ac:dyDescent="0.2">
      <c r="B33">
        <v>85</v>
      </c>
      <c r="C33" t="s">
        <v>150</v>
      </c>
      <c r="D33" s="1">
        <v>12355</v>
      </c>
      <c r="E33">
        <v>2</v>
      </c>
      <c r="F33" t="s">
        <v>256</v>
      </c>
      <c r="G33" t="s">
        <v>257</v>
      </c>
      <c r="H33" t="s">
        <v>258</v>
      </c>
      <c r="J33">
        <v>22000</v>
      </c>
      <c r="K33">
        <v>1932</v>
      </c>
      <c r="M33">
        <v>9500</v>
      </c>
      <c r="Q33" t="s">
        <v>260</v>
      </c>
      <c r="R33" t="s">
        <v>259</v>
      </c>
      <c r="V33" s="2">
        <v>38.502673796791441</v>
      </c>
      <c r="W33" s="2">
        <v>-16.058394160583944</v>
      </c>
      <c r="X33" s="2">
        <v>29.540481400437635</v>
      </c>
      <c r="Y33" s="2">
        <v>-2.6910139356078777</v>
      </c>
      <c r="Z33" s="2">
        <v>16.261368515554885</v>
      </c>
    </row>
    <row r="34" spans="2:26" x14ac:dyDescent="0.2">
      <c r="B34">
        <v>88</v>
      </c>
      <c r="C34" t="s">
        <v>151</v>
      </c>
      <c r="D34" s="1">
        <v>12360</v>
      </c>
      <c r="E34">
        <v>2</v>
      </c>
      <c r="F34">
        <v>384</v>
      </c>
      <c r="G34">
        <v>40</v>
      </c>
      <c r="H34" t="s">
        <v>253</v>
      </c>
      <c r="P34" t="s">
        <v>254</v>
      </c>
      <c r="Q34" t="s">
        <v>255</v>
      </c>
      <c r="V34" s="2">
        <v>13.195876288659791</v>
      </c>
      <c r="W34" s="2">
        <v>-0.84745762711863071</v>
      </c>
      <c r="X34" s="2">
        <v>8.2608695652173871</v>
      </c>
      <c r="Y34" s="2">
        <v>9.1989987484355282</v>
      </c>
      <c r="Z34" s="2">
        <v>12.236589201467773</v>
      </c>
    </row>
    <row r="35" spans="2:26" x14ac:dyDescent="0.2">
      <c r="B35">
        <v>89</v>
      </c>
      <c r="C35" t="s">
        <v>152</v>
      </c>
      <c r="D35" s="1">
        <v>12361</v>
      </c>
      <c r="E35">
        <v>2</v>
      </c>
      <c r="F35" t="s">
        <v>261</v>
      </c>
      <c r="P35" t="s">
        <v>263</v>
      </c>
      <c r="Q35" t="s">
        <v>265</v>
      </c>
      <c r="R35" t="s">
        <v>262</v>
      </c>
      <c r="S35" t="s">
        <v>264</v>
      </c>
      <c r="V35" s="2">
        <v>32.70042194092828</v>
      </c>
      <c r="W35" s="2">
        <v>-2.5252525252525304</v>
      </c>
      <c r="X35" s="2">
        <v>4.3875685557586808</v>
      </c>
      <c r="Y35" s="2">
        <v>3.5933806146572156</v>
      </c>
      <c r="Z35" s="2">
        <v>29.349401184844215</v>
      </c>
    </row>
    <row r="36" spans="2:26" x14ac:dyDescent="0.2">
      <c r="B36">
        <v>92</v>
      </c>
      <c r="C36" t="s">
        <v>153</v>
      </c>
      <c r="D36" s="1">
        <v>12357</v>
      </c>
      <c r="E36">
        <v>2</v>
      </c>
      <c r="F36" t="s">
        <v>266</v>
      </c>
      <c r="G36" t="s">
        <v>267</v>
      </c>
      <c r="P36" t="s">
        <v>268</v>
      </c>
      <c r="Q36" t="s">
        <v>269</v>
      </c>
      <c r="R36" t="s">
        <v>270</v>
      </c>
      <c r="V36" s="2">
        <v>-5.7491289198606239</v>
      </c>
      <c r="W36" s="2">
        <v>-12.820512820512819</v>
      </c>
      <c r="X36" s="2">
        <v>21.114369501466257</v>
      </c>
      <c r="Y36" s="2">
        <v>6.8567026194144676</v>
      </c>
      <c r="Z36" s="2">
        <v>-17.832573930134899</v>
      </c>
    </row>
    <row r="37" spans="2:26" x14ac:dyDescent="0.2">
      <c r="B37">
        <v>100</v>
      </c>
      <c r="C37" t="s">
        <v>154</v>
      </c>
      <c r="D37" s="1">
        <v>12362</v>
      </c>
      <c r="E37">
        <v>2</v>
      </c>
      <c r="F37">
        <v>538</v>
      </c>
      <c r="J37">
        <v>25000</v>
      </c>
      <c r="K37" s="1">
        <v>12236</v>
      </c>
      <c r="L37">
        <v>19000</v>
      </c>
      <c r="Q37" t="s">
        <v>271</v>
      </c>
      <c r="V37" s="2">
        <v>18.200408997955009</v>
      </c>
      <c r="W37" s="2">
        <v>-31.150793650793641</v>
      </c>
      <c r="X37" s="2">
        <v>23.2843137254902</v>
      </c>
      <c r="Y37" s="2">
        <v>-14.64354527938344</v>
      </c>
      <c r="Z37" s="2">
        <v>-18.619956503392075</v>
      </c>
    </row>
    <row r="38" spans="2:26" x14ac:dyDescent="0.2">
      <c r="B38">
        <v>101</v>
      </c>
      <c r="C38" t="s">
        <v>155</v>
      </c>
      <c r="D38" s="1">
        <v>12361</v>
      </c>
      <c r="E38">
        <v>2</v>
      </c>
      <c r="F38" t="s">
        <v>272</v>
      </c>
      <c r="G38" t="s">
        <v>274</v>
      </c>
      <c r="H38" t="s">
        <v>275</v>
      </c>
      <c r="R38" t="s">
        <v>273</v>
      </c>
      <c r="V38" s="2">
        <v>-0.58823529411764497</v>
      </c>
      <c r="W38" s="2">
        <v>-10.940919037199127</v>
      </c>
      <c r="X38" s="2">
        <v>17.391304347826097</v>
      </c>
      <c r="Y38" s="2">
        <v>4.8883524441762249</v>
      </c>
      <c r="Z38" s="2">
        <v>-11.464795984039123</v>
      </c>
    </row>
    <row r="39" spans="2:26" x14ac:dyDescent="0.2">
      <c r="B39">
        <v>102</v>
      </c>
      <c r="C39" t="s">
        <v>156</v>
      </c>
      <c r="D39" s="1">
        <v>12362</v>
      </c>
      <c r="E39">
        <v>2</v>
      </c>
      <c r="F39" t="s">
        <v>276</v>
      </c>
      <c r="G39" t="s">
        <v>277</v>
      </c>
      <c r="H39">
        <v>40</v>
      </c>
      <c r="J39">
        <v>14440</v>
      </c>
      <c r="N39" t="s">
        <v>278</v>
      </c>
      <c r="O39">
        <v>4100</v>
      </c>
      <c r="Q39" t="s">
        <v>279</v>
      </c>
      <c r="V39" s="2">
        <v>21.1049723756906</v>
      </c>
      <c r="W39" s="2">
        <v>16.528925619834723</v>
      </c>
      <c r="X39" s="2">
        <v>3.105590062111796</v>
      </c>
      <c r="Y39" s="2">
        <v>20.462328767123282</v>
      </c>
      <c r="Z39" s="2">
        <v>41.122323181589884</v>
      </c>
    </row>
    <row r="40" spans="2:26" x14ac:dyDescent="0.2">
      <c r="B40">
        <v>103</v>
      </c>
      <c r="C40" t="s">
        <v>157</v>
      </c>
      <c r="D40" s="1">
        <v>12355</v>
      </c>
      <c r="E40">
        <v>2</v>
      </c>
      <c r="F40" t="s">
        <v>280</v>
      </c>
      <c r="G40" t="s">
        <v>281</v>
      </c>
      <c r="H40" t="s">
        <v>282</v>
      </c>
      <c r="N40" s="3">
        <v>12206</v>
      </c>
      <c r="O40">
        <v>9600</v>
      </c>
      <c r="Q40" t="s">
        <v>284</v>
      </c>
      <c r="R40" t="s">
        <v>283</v>
      </c>
      <c r="V40" s="2">
        <v>55.418994413407809</v>
      </c>
      <c r="W40" s="2">
        <v>-3.2345013477089068</v>
      </c>
      <c r="X40" s="2">
        <v>9.2803030303030489</v>
      </c>
      <c r="Y40" s="2">
        <v>3.0093734583127807</v>
      </c>
      <c r="Z40" s="2">
        <v>50.391964944510526</v>
      </c>
    </row>
    <row r="41" spans="2:26" x14ac:dyDescent="0.2">
      <c r="B41">
        <v>105</v>
      </c>
      <c r="C41" t="s">
        <v>158</v>
      </c>
      <c r="D41" s="1">
        <v>12359</v>
      </c>
      <c r="E41">
        <v>2</v>
      </c>
      <c r="F41" t="s">
        <v>285</v>
      </c>
      <c r="G41" t="s">
        <v>290</v>
      </c>
      <c r="H41" t="s">
        <v>291</v>
      </c>
      <c r="J41">
        <v>41000</v>
      </c>
      <c r="N41" t="s">
        <v>287</v>
      </c>
      <c r="O41" t="s">
        <v>288</v>
      </c>
      <c r="Q41" t="s">
        <v>289</v>
      </c>
      <c r="R41" t="s">
        <v>286</v>
      </c>
      <c r="V41" s="2">
        <v>-3.9667896678966863</v>
      </c>
      <c r="W41" s="2">
        <v>-17.289719626168221</v>
      </c>
      <c r="X41" s="2">
        <v>13.939393939393941</v>
      </c>
      <c r="Y41" s="2">
        <v>-6.1705134243994264</v>
      </c>
      <c r="Z41" s="2">
        <v>-20.570662482325762</v>
      </c>
    </row>
    <row r="42" spans="2:26" x14ac:dyDescent="0.2">
      <c r="B42">
        <v>114</v>
      </c>
      <c r="C42" t="s">
        <v>159</v>
      </c>
      <c r="D42" s="1">
        <v>12367</v>
      </c>
      <c r="E42">
        <v>3</v>
      </c>
      <c r="F42" t="s">
        <v>302</v>
      </c>
      <c r="G42">
        <v>40</v>
      </c>
      <c r="H42">
        <f>15/40</f>
        <v>0.375</v>
      </c>
      <c r="I42">
        <v>93</v>
      </c>
      <c r="J42">
        <v>16000</v>
      </c>
      <c r="K42" s="3">
        <v>12267</v>
      </c>
      <c r="L42">
        <v>110</v>
      </c>
      <c r="M42">
        <v>12000</v>
      </c>
      <c r="Q42" t="s">
        <v>304</v>
      </c>
      <c r="R42" t="s">
        <v>303</v>
      </c>
      <c r="V42" s="2">
        <v>3.9761431411530879</v>
      </c>
      <c r="W42" s="2">
        <v>-27.586206896551722</v>
      </c>
      <c r="X42" s="2">
        <v>12.698412698412698</v>
      </c>
      <c r="Y42" s="2">
        <v>-13.904163393558521</v>
      </c>
      <c r="Z42" s="2">
        <v>-24.706930828820173</v>
      </c>
    </row>
    <row r="43" spans="2:26" x14ac:dyDescent="0.2">
      <c r="B43">
        <v>118</v>
      </c>
      <c r="C43" t="s">
        <v>160</v>
      </c>
      <c r="D43" s="1">
        <v>12365</v>
      </c>
      <c r="E43">
        <v>3</v>
      </c>
      <c r="F43" t="s">
        <v>305</v>
      </c>
      <c r="G43">
        <v>40</v>
      </c>
      <c r="Q43" t="s">
        <v>307</v>
      </c>
      <c r="R43" t="s">
        <v>306</v>
      </c>
      <c r="V43" s="2">
        <v>-6.8778280542986403</v>
      </c>
      <c r="W43" s="2">
        <v>-21.323529411764696</v>
      </c>
      <c r="X43" s="2">
        <v>50.197628458498023</v>
      </c>
      <c r="Y43" s="2">
        <v>18.199802176063294</v>
      </c>
      <c r="Z43" s="2">
        <v>-26.734761778014359</v>
      </c>
    </row>
    <row r="44" spans="2:26" x14ac:dyDescent="0.2">
      <c r="B44">
        <v>119</v>
      </c>
      <c r="C44" t="s">
        <v>161</v>
      </c>
      <c r="D44" s="1">
        <v>12353</v>
      </c>
      <c r="E44">
        <v>3</v>
      </c>
      <c r="F44" t="s">
        <v>308</v>
      </c>
      <c r="G44">
        <v>40</v>
      </c>
      <c r="H44" t="s">
        <v>309</v>
      </c>
      <c r="Q44" t="s">
        <v>311</v>
      </c>
      <c r="R44" t="s">
        <v>310</v>
      </c>
      <c r="V44" s="2">
        <v>8.1673306772908294</v>
      </c>
      <c r="W44" s="2">
        <v>-2.6905829596412634</v>
      </c>
      <c r="X44" s="2">
        <v>1.4705882352941124</v>
      </c>
      <c r="Y44" s="2">
        <v>-3.0004688232536214</v>
      </c>
      <c r="Z44" s="2">
        <v>5.2569989101888259</v>
      </c>
    </row>
    <row r="45" spans="2:26" x14ac:dyDescent="0.2">
      <c r="B45">
        <v>120</v>
      </c>
      <c r="C45" t="s">
        <v>162</v>
      </c>
      <c r="D45" s="1">
        <v>12346</v>
      </c>
      <c r="E45">
        <v>3</v>
      </c>
      <c r="F45" t="s">
        <v>312</v>
      </c>
      <c r="G45">
        <v>40</v>
      </c>
      <c r="H45" t="s">
        <v>313</v>
      </c>
      <c r="J45" t="s">
        <v>314</v>
      </c>
      <c r="Q45" t="s">
        <v>315</v>
      </c>
      <c r="V45" s="2">
        <v>13.340020060180535</v>
      </c>
      <c r="W45" s="2">
        <v>-20.305676855895193</v>
      </c>
      <c r="X45" s="2">
        <v>17.359413202933993</v>
      </c>
      <c r="Y45" s="2">
        <v>-6.9057815845824377</v>
      </c>
      <c r="Z45" s="2">
        <v>-9.6744381616465258</v>
      </c>
    </row>
    <row r="46" spans="2:26" x14ac:dyDescent="0.2">
      <c r="B46">
        <v>121</v>
      </c>
      <c r="C46" t="s">
        <v>163</v>
      </c>
      <c r="D46" s="1">
        <v>12361</v>
      </c>
      <c r="E46">
        <v>3</v>
      </c>
      <c r="F46" t="s">
        <v>316</v>
      </c>
      <c r="G46">
        <v>54</v>
      </c>
      <c r="I46">
        <v>20000</v>
      </c>
      <c r="J46">
        <v>290000</v>
      </c>
      <c r="K46" s="3">
        <v>12298</v>
      </c>
      <c r="L46" t="s">
        <v>317</v>
      </c>
      <c r="R46" t="s">
        <v>318</v>
      </c>
      <c r="V46" s="2">
        <v>3.92749244712991</v>
      </c>
      <c r="W46" s="2">
        <v>-1.9685039370078705</v>
      </c>
      <c r="X46" s="2">
        <v>7.8602620087336206</v>
      </c>
      <c r="Y46" s="2">
        <v>3.5426731078904927</v>
      </c>
      <c r="Z46" s="2">
        <v>1.8816756666746315</v>
      </c>
    </row>
    <row r="47" spans="2:26" x14ac:dyDescent="0.2">
      <c r="B47">
        <v>122</v>
      </c>
      <c r="C47" t="s">
        <v>164</v>
      </c>
      <c r="D47" s="1">
        <v>12368</v>
      </c>
      <c r="E47">
        <v>3</v>
      </c>
      <c r="F47" t="s">
        <v>319</v>
      </c>
      <c r="G47" t="s">
        <v>320</v>
      </c>
      <c r="H47">
        <v>40</v>
      </c>
      <c r="J47">
        <v>11000</v>
      </c>
      <c r="K47">
        <v>1931</v>
      </c>
      <c r="M47">
        <v>4700</v>
      </c>
      <c r="Q47" t="s">
        <v>321</v>
      </c>
      <c r="V47" s="2">
        <v>34.387755102040799</v>
      </c>
      <c r="W47" s="2">
        <v>5.157593123209181</v>
      </c>
      <c r="X47" s="2">
        <v>7.2310405643738918</v>
      </c>
      <c r="Y47" s="2">
        <v>9.5823095823095663</v>
      </c>
      <c r="Z47" s="2">
        <v>41.318928717618839</v>
      </c>
    </row>
    <row r="48" spans="2:26" x14ac:dyDescent="0.2">
      <c r="B48">
        <v>123</v>
      </c>
      <c r="C48" t="s">
        <v>165</v>
      </c>
      <c r="D48" s="1">
        <v>12366</v>
      </c>
      <c r="E48">
        <v>3</v>
      </c>
      <c r="F48" t="s">
        <v>322</v>
      </c>
      <c r="G48">
        <v>36</v>
      </c>
      <c r="H48" t="s">
        <v>323</v>
      </c>
      <c r="Q48" t="s">
        <v>324</v>
      </c>
      <c r="V48" s="2">
        <v>-16.577946768060837</v>
      </c>
      <c r="W48" s="2">
        <v>-20.971867007672639</v>
      </c>
      <c r="X48" s="2">
        <v>27.719298245614034</v>
      </c>
      <c r="Y48" s="2">
        <v>9.5774647887323816</v>
      </c>
      <c r="Z48" s="2">
        <v>-34.073108826933009</v>
      </c>
    </row>
    <row r="49" spans="1:26" x14ac:dyDescent="0.2">
      <c r="B49">
        <v>126</v>
      </c>
      <c r="C49" t="s">
        <v>166</v>
      </c>
      <c r="D49" s="1">
        <v>12375</v>
      </c>
      <c r="E49">
        <v>3</v>
      </c>
      <c r="F49" t="s">
        <v>325</v>
      </c>
      <c r="G49">
        <v>40</v>
      </c>
      <c r="H49" t="s">
        <v>326</v>
      </c>
      <c r="R49" t="s">
        <v>327</v>
      </c>
      <c r="V49" s="2">
        <v>16.36363636363636</v>
      </c>
      <c r="W49" s="2">
        <v>21.511627906976738</v>
      </c>
      <c r="X49" s="2">
        <v>1.5837104072398134</v>
      </c>
      <c r="Y49" s="2">
        <v>22.521915037087005</v>
      </c>
      <c r="Z49" s="2">
        <v>41.395348837209298</v>
      </c>
    </row>
    <row r="50" spans="1:26" x14ac:dyDescent="0.2">
      <c r="B50">
        <v>128</v>
      </c>
      <c r="C50" t="s">
        <v>167</v>
      </c>
      <c r="D50" s="1">
        <v>12361</v>
      </c>
      <c r="E50">
        <v>3</v>
      </c>
      <c r="F50" t="s">
        <v>328</v>
      </c>
      <c r="G50">
        <v>36</v>
      </c>
      <c r="H50" t="s">
        <v>329</v>
      </c>
      <c r="J50" t="s">
        <v>331</v>
      </c>
      <c r="K50" s="3">
        <v>12086</v>
      </c>
      <c r="M50">
        <v>11941</v>
      </c>
      <c r="Q50" t="s">
        <v>332</v>
      </c>
      <c r="R50" t="s">
        <v>330</v>
      </c>
      <c r="V50" s="2">
        <v>-17.743254292722821</v>
      </c>
      <c r="W50" s="2">
        <v>-14.96062992125985</v>
      </c>
      <c r="X50" s="2">
        <v>29.355608591885463</v>
      </c>
      <c r="Y50" s="2">
        <v>3.2163742690058283</v>
      </c>
      <c r="Z50" s="2">
        <v>-30.049381603260361</v>
      </c>
    </row>
    <row r="51" spans="1:26" x14ac:dyDescent="0.2">
      <c r="B51">
        <v>132</v>
      </c>
      <c r="C51" t="s">
        <v>168</v>
      </c>
      <c r="D51" s="1">
        <v>12372</v>
      </c>
      <c r="E51">
        <v>3</v>
      </c>
      <c r="F51" t="s">
        <v>293</v>
      </c>
      <c r="G51">
        <v>40</v>
      </c>
      <c r="H51" t="s">
        <v>294</v>
      </c>
      <c r="J51" t="s">
        <v>299</v>
      </c>
      <c r="K51" t="s">
        <v>296</v>
      </c>
      <c r="M51" t="s">
        <v>300</v>
      </c>
      <c r="N51" t="s">
        <v>301</v>
      </c>
      <c r="Q51" t="s">
        <v>298</v>
      </c>
      <c r="R51" t="s">
        <v>295</v>
      </c>
      <c r="S51" t="s">
        <v>297</v>
      </c>
      <c r="V51" s="2">
        <v>0.18518518518517713</v>
      </c>
      <c r="W51" s="2">
        <v>-41.528925619834709</v>
      </c>
      <c r="X51" s="2">
        <v>46.496815286624212</v>
      </c>
      <c r="Y51" s="2">
        <v>-11.1036339165545</v>
      </c>
      <c r="Z51" s="2">
        <v>-41.420645852464034</v>
      </c>
    </row>
    <row r="52" spans="1:26" x14ac:dyDescent="0.2">
      <c r="B52">
        <v>134</v>
      </c>
      <c r="C52" t="s">
        <v>169</v>
      </c>
      <c r="D52" s="1">
        <v>12372</v>
      </c>
      <c r="E52">
        <v>3</v>
      </c>
      <c r="F52" t="s">
        <v>333</v>
      </c>
      <c r="G52">
        <v>40</v>
      </c>
      <c r="H52" t="s">
        <v>334</v>
      </c>
      <c r="J52" t="s">
        <v>338</v>
      </c>
      <c r="K52" t="s">
        <v>335</v>
      </c>
      <c r="M52" t="s">
        <v>337</v>
      </c>
      <c r="N52" s="3">
        <v>12328</v>
      </c>
      <c r="O52" t="s">
        <v>336</v>
      </c>
      <c r="Q52" t="s">
        <v>339</v>
      </c>
      <c r="V52" s="2">
        <v>17.63565891472869</v>
      </c>
      <c r="W52" s="2">
        <v>-18.7192118226601</v>
      </c>
      <c r="X52" s="2">
        <v>13.695652173913043</v>
      </c>
      <c r="Y52" s="2">
        <v>-12.203913491246144</v>
      </c>
      <c r="Z52" s="2">
        <v>-4.3848092565013204</v>
      </c>
    </row>
    <row r="53" spans="1:26" x14ac:dyDescent="0.2">
      <c r="B53">
        <v>136</v>
      </c>
      <c r="C53" t="s">
        <v>170</v>
      </c>
      <c r="D53" s="1">
        <v>12364</v>
      </c>
      <c r="E53">
        <v>3</v>
      </c>
      <c r="F53" t="s">
        <v>342</v>
      </c>
      <c r="G53" t="s">
        <v>340</v>
      </c>
      <c r="H53" t="s">
        <v>341</v>
      </c>
      <c r="J53" t="s">
        <v>344</v>
      </c>
      <c r="K53">
        <v>1933</v>
      </c>
      <c r="L53">
        <v>4349</v>
      </c>
      <c r="Q53" t="s">
        <v>345</v>
      </c>
      <c r="R53" t="s">
        <v>343</v>
      </c>
      <c r="V53" s="2">
        <v>-2.9693486590038343</v>
      </c>
      <c r="W53" s="2">
        <v>-27.631578947368418</v>
      </c>
      <c r="X53" s="2">
        <v>42.715231788079478</v>
      </c>
      <c r="Y53" s="2">
        <v>9.8562628336755544</v>
      </c>
      <c r="Z53" s="2">
        <v>-29.780449687436985</v>
      </c>
    </row>
    <row r="54" spans="1:26" x14ac:dyDescent="0.2">
      <c r="B54">
        <v>138</v>
      </c>
      <c r="C54" t="s">
        <v>171</v>
      </c>
      <c r="D54" s="1">
        <v>12372</v>
      </c>
      <c r="E54">
        <v>3</v>
      </c>
      <c r="F54" t="s">
        <v>346</v>
      </c>
      <c r="G54">
        <v>40</v>
      </c>
      <c r="H54" t="s">
        <v>347</v>
      </c>
      <c r="J54">
        <f>14500/0.9</f>
        <v>16111.111111111111</v>
      </c>
      <c r="K54" s="3">
        <v>12114</v>
      </c>
      <c r="M54">
        <f>13700/1.95</f>
        <v>7025.6410256410254</v>
      </c>
      <c r="N54" s="3">
        <v>12206</v>
      </c>
      <c r="O54">
        <f>13700/1.39</f>
        <v>9856.1151079136689</v>
      </c>
      <c r="Q54" t="s">
        <v>349</v>
      </c>
      <c r="R54" t="s">
        <v>348</v>
      </c>
      <c r="V54" s="2">
        <v>23.754789272030628</v>
      </c>
      <c r="W54" s="2">
        <v>-11.467889908256879</v>
      </c>
      <c r="X54" s="2">
        <v>6.9582504970179038</v>
      </c>
      <c r="Y54" s="2">
        <v>-5.0228310502283051</v>
      </c>
      <c r="Z54" s="2">
        <v>9.562726282118895</v>
      </c>
    </row>
    <row r="55" spans="1:26" x14ac:dyDescent="0.2">
      <c r="B55">
        <v>145</v>
      </c>
      <c r="C55" t="s">
        <v>172</v>
      </c>
      <c r="D55" s="1">
        <v>12376</v>
      </c>
      <c r="E55">
        <v>3</v>
      </c>
      <c r="F55" t="s">
        <v>350</v>
      </c>
      <c r="G55">
        <v>40</v>
      </c>
      <c r="H55" t="s">
        <v>351</v>
      </c>
      <c r="Q55" t="s">
        <v>353</v>
      </c>
      <c r="R55" t="s">
        <v>352</v>
      </c>
      <c r="S55" t="s">
        <v>354</v>
      </c>
      <c r="V55" s="2">
        <v>17.716535433070856</v>
      </c>
      <c r="W55" s="2">
        <v>-16.822429906542048</v>
      </c>
      <c r="X55" s="2">
        <v>43.944636678200702</v>
      </c>
      <c r="Y55" s="2">
        <v>10.857592446892195</v>
      </c>
      <c r="Z55" s="2">
        <v>-2.0862462285672123</v>
      </c>
    </row>
    <row r="56" spans="1:26" x14ac:dyDescent="0.2">
      <c r="B56">
        <v>151</v>
      </c>
      <c r="C56" t="s">
        <v>173</v>
      </c>
      <c r="V56" s="2">
        <v>2.3310023310023409</v>
      </c>
      <c r="W56" s="2">
        <v>-24.886877828054299</v>
      </c>
      <c r="X56" s="2">
        <v>27.012987012987001</v>
      </c>
      <c r="Y56" s="2">
        <v>13.697657913413774</v>
      </c>
      <c r="Z56" s="2">
        <v>-23.135989199337626</v>
      </c>
    </row>
    <row r="57" spans="1:26" x14ac:dyDescent="0.2">
      <c r="B57">
        <v>152</v>
      </c>
      <c r="C57" t="s">
        <v>174</v>
      </c>
      <c r="V57" s="2">
        <v>2.1215043394406941</v>
      </c>
      <c r="W57" s="2">
        <v>-16.075650118203299</v>
      </c>
      <c r="X57" s="2">
        <v>13.071895424836599</v>
      </c>
      <c r="Y57" s="2">
        <v>-6.5934065934065922</v>
      </c>
      <c r="Z57" s="2">
        <v>-14.295191393613592</v>
      </c>
    </row>
    <row r="58" spans="1:26" x14ac:dyDescent="0.2">
      <c r="B58">
        <v>153</v>
      </c>
      <c r="C58" t="s">
        <v>175</v>
      </c>
      <c r="V58" s="2">
        <v>10.763209393346385</v>
      </c>
      <c r="W58" s="2">
        <v>-6.8047337278106408</v>
      </c>
      <c r="X58" s="2">
        <v>5.3703703703703587</v>
      </c>
      <c r="Y58" s="2">
        <v>-3.6789297658862852</v>
      </c>
      <c r="Z58" s="2">
        <v>3.2260679257517966</v>
      </c>
    </row>
    <row r="59" spans="1:26" x14ac:dyDescent="0.2">
      <c r="B59">
        <v>156</v>
      </c>
      <c r="C59" t="s">
        <v>176</v>
      </c>
      <c r="V59" s="2">
        <v>29.265770423991722</v>
      </c>
      <c r="W59" s="2">
        <v>-22.048997772828503</v>
      </c>
      <c r="X59" s="2">
        <v>14.420803782505921</v>
      </c>
      <c r="Y59" s="2">
        <v>-6.43959552953699</v>
      </c>
      <c r="Z59" s="2">
        <v>0.76396358217618587</v>
      </c>
    </row>
    <row r="60" spans="1:26" x14ac:dyDescent="0.2">
      <c r="B60">
        <v>164</v>
      </c>
      <c r="C60" t="s">
        <v>177</v>
      </c>
      <c r="V60" s="2">
        <v>-10.572687224669608</v>
      </c>
      <c r="W60" s="2">
        <v>-24.229074889867842</v>
      </c>
      <c r="X60" s="2">
        <v>38.775510204081634</v>
      </c>
      <c r="Y60" s="2">
        <v>10.156833457804337</v>
      </c>
      <c r="Z60" s="2">
        <v>-32.240097809000744</v>
      </c>
    </row>
    <row r="61" spans="1:26" x14ac:dyDescent="0.2">
      <c r="B61">
        <v>165</v>
      </c>
      <c r="C61" t="s">
        <v>178</v>
      </c>
      <c r="V61" s="2">
        <v>7.6645626690712287</v>
      </c>
      <c r="W61" s="2">
        <v>-15.829145728643212</v>
      </c>
      <c r="X61" s="2">
        <v>14.885496183206115</v>
      </c>
      <c r="Y61" s="2">
        <v>-3.2414126753749439</v>
      </c>
      <c r="Z61" s="2">
        <v>-9.3778178539224442</v>
      </c>
    </row>
    <row r="62" spans="1:26" x14ac:dyDescent="0.2">
      <c r="B62">
        <v>167</v>
      </c>
      <c r="C62" t="s">
        <v>179</v>
      </c>
      <c r="V62" s="2">
        <v>16.990788126919142</v>
      </c>
      <c r="W62" s="2">
        <v>-4.9875311720698257</v>
      </c>
      <c r="X62" s="2">
        <v>16.94444444444445</v>
      </c>
      <c r="Y62" s="2">
        <v>10.969899665551841</v>
      </c>
      <c r="Z62" s="2">
        <v>11.155836100638862</v>
      </c>
    </row>
    <row r="63" spans="1:26" x14ac:dyDescent="0.2">
      <c r="B63">
        <v>168</v>
      </c>
      <c r="C63" t="s">
        <v>180</v>
      </c>
      <c r="V63" s="2">
        <v>-14.747634069400629</v>
      </c>
      <c r="W63" s="2">
        <v>-22.815533980582526</v>
      </c>
      <c r="X63" s="2">
        <v>17.914438502673804</v>
      </c>
      <c r="Y63" s="2">
        <v>-18.390052356020938</v>
      </c>
      <c r="Z63" s="2">
        <v>-34.198416587547101</v>
      </c>
    </row>
    <row r="64" spans="1:26" x14ac:dyDescent="0.2">
      <c r="A64" t="s">
        <v>358</v>
      </c>
      <c r="B64">
        <v>172</v>
      </c>
      <c r="C64" t="s">
        <v>181</v>
      </c>
      <c r="V64" s="2">
        <v>15.569395017793596</v>
      </c>
      <c r="W64" s="2">
        <v>-13.106796116504871</v>
      </c>
      <c r="X64" s="2">
        <v>43.601895734597143</v>
      </c>
      <c r="Y64" s="2">
        <v>25.840092699884099</v>
      </c>
      <c r="Z64" s="2">
        <v>0.42195003973324319</v>
      </c>
    </row>
    <row r="65" spans="2:26" x14ac:dyDescent="0.2">
      <c r="B65">
        <v>174</v>
      </c>
      <c r="C65" t="s">
        <v>182</v>
      </c>
      <c r="V65" s="2">
        <v>-0.26501766784452485</v>
      </c>
      <c r="W65" s="2">
        <v>-25.78125</v>
      </c>
      <c r="X65" s="2">
        <v>13.483146067415742</v>
      </c>
      <c r="Y65" s="2">
        <v>-19.967199671996728</v>
      </c>
      <c r="Z65" s="2">
        <v>-25.977942800353372</v>
      </c>
    </row>
    <row r="66" spans="2:26" x14ac:dyDescent="0.2">
      <c r="B66">
        <v>175</v>
      </c>
      <c r="C66" t="s">
        <v>183</v>
      </c>
      <c r="V66" s="2">
        <v>30.000000000000004</v>
      </c>
      <c r="W66" s="2">
        <v>1.3157894736842035</v>
      </c>
      <c r="X66" s="2">
        <v>12.12814645308924</v>
      </c>
      <c r="Y66" s="2">
        <v>9.7850678733031771</v>
      </c>
      <c r="Z66" s="2">
        <v>31.71052631578948</v>
      </c>
    </row>
    <row r="67" spans="2:26" x14ac:dyDescent="0.2">
      <c r="B67">
        <v>177</v>
      </c>
      <c r="C67" t="s">
        <v>184</v>
      </c>
      <c r="V67" s="2">
        <v>58.971141781681304</v>
      </c>
      <c r="W67" s="2">
        <v>-2.4813895781637729</v>
      </c>
      <c r="X67" s="2">
        <v>14.414414414414424</v>
      </c>
      <c r="Y67" s="2">
        <v>13.299944351697279</v>
      </c>
      <c r="Z67" s="2">
        <v>55.026448437222712</v>
      </c>
    </row>
    <row r="68" spans="2:26" x14ac:dyDescent="0.2">
      <c r="B68">
        <v>192</v>
      </c>
      <c r="C68" t="s">
        <v>185</v>
      </c>
      <c r="V68" s="2">
        <v>11.509433962264159</v>
      </c>
      <c r="W68" s="2">
        <v>-12.101910828025463</v>
      </c>
      <c r="X68" s="2">
        <v>23.627684964200469</v>
      </c>
      <c r="Y68" s="2">
        <v>10.67415730337078</v>
      </c>
      <c r="Z68" s="2">
        <v>-1.9853383006850134</v>
      </c>
    </row>
    <row r="69" spans="2:26" x14ac:dyDescent="0.2">
      <c r="B69">
        <v>193</v>
      </c>
      <c r="C69" t="s">
        <v>186</v>
      </c>
      <c r="V69" s="2">
        <v>13.894523326572017</v>
      </c>
      <c r="W69" s="2">
        <v>-23.966942148760339</v>
      </c>
      <c r="X69" s="2">
        <v>17.567567567567586</v>
      </c>
      <c r="Y69" s="2">
        <v>-6.5668759053597263</v>
      </c>
      <c r="Z69" s="2">
        <v>-13.402511189713827</v>
      </c>
    </row>
    <row r="70" spans="2:26" x14ac:dyDescent="0.2">
      <c r="B70">
        <v>198</v>
      </c>
      <c r="C70" t="s">
        <v>187</v>
      </c>
      <c r="V70" s="2">
        <v>9.8159509202454096</v>
      </c>
      <c r="W70" s="2">
        <v>33.33333333333335</v>
      </c>
      <c r="X70" s="2">
        <v>11.551724137931041</v>
      </c>
      <c r="Y70" s="2">
        <v>48.520710059171599</v>
      </c>
      <c r="Z70" s="2">
        <v>46.421267893660541</v>
      </c>
    </row>
    <row r="71" spans="2:26" x14ac:dyDescent="0.2">
      <c r="B71">
        <v>202</v>
      </c>
      <c r="C71" t="s">
        <v>188</v>
      </c>
      <c r="V71" s="2">
        <v>9.9188458070333709</v>
      </c>
      <c r="W71" s="2">
        <v>-28.124999999999989</v>
      </c>
      <c r="X71" s="2">
        <v>39.787798408488051</v>
      </c>
      <c r="Y71" s="2">
        <v>-2.9792017987633312</v>
      </c>
      <c r="Z71" s="2">
        <v>-20.995829576194748</v>
      </c>
    </row>
    <row r="72" spans="2:26" x14ac:dyDescent="0.2">
      <c r="B72">
        <v>204</v>
      </c>
      <c r="C72" t="s">
        <v>189</v>
      </c>
      <c r="V72" s="2">
        <v>-7.2080291970802897</v>
      </c>
      <c r="W72" s="2">
        <v>-27.058823529411757</v>
      </c>
      <c r="X72" s="2">
        <v>24.541284403669717</v>
      </c>
      <c r="Y72" s="2">
        <v>-11.569731081926204</v>
      </c>
      <c r="Z72" s="2">
        <v>-32.316444826105617</v>
      </c>
    </row>
    <row r="73" spans="2:26" x14ac:dyDescent="0.2">
      <c r="B73">
        <v>215</v>
      </c>
      <c r="C73" t="s">
        <v>190</v>
      </c>
      <c r="V73" s="2">
        <v>23.417721518987356</v>
      </c>
      <c r="W73" s="2">
        <v>-10.567010309278334</v>
      </c>
      <c r="X73" s="2">
        <v>9.6196868008948435</v>
      </c>
      <c r="Y73" s="2">
        <v>1.3605442176870763</v>
      </c>
      <c r="Z73" s="2">
        <v>10.376158162599513</v>
      </c>
    </row>
    <row r="74" spans="2:26" x14ac:dyDescent="0.2">
      <c r="B74">
        <v>235</v>
      </c>
      <c r="C74" t="s">
        <v>191</v>
      </c>
      <c r="V74" s="2">
        <v>-1.9390581717451449</v>
      </c>
      <c r="W74" s="2">
        <v>-25.053078556263277</v>
      </c>
      <c r="X74" s="2">
        <v>21.70900692840647</v>
      </c>
      <c r="Y74" s="2">
        <v>-9.1295116772823768</v>
      </c>
      <c r="Z74" s="2">
        <v>-26.506342960989471</v>
      </c>
    </row>
    <row r="75" spans="2:26" x14ac:dyDescent="0.2">
      <c r="B75">
        <v>236</v>
      </c>
      <c r="C75" t="s">
        <v>192</v>
      </c>
      <c r="V75" s="2">
        <v>38.832997987927563</v>
      </c>
      <c r="W75" s="2">
        <v>11.042944785276077</v>
      </c>
      <c r="X75" s="2">
        <v>-1.5655577299413026</v>
      </c>
      <c r="Y75" s="2">
        <v>6.2765957446808462</v>
      </c>
      <c r="Z75" s="2">
        <v>54.164249299477873</v>
      </c>
    </row>
    <row r="76" spans="2:26" x14ac:dyDescent="0.2">
      <c r="B76">
        <v>245</v>
      </c>
      <c r="C76" t="s">
        <v>193</v>
      </c>
      <c r="V76" s="2">
        <v>7.9333986287953184</v>
      </c>
      <c r="W76" s="2">
        <v>-30.255402750491157</v>
      </c>
      <c r="X76" s="2">
        <v>28.695652173913032</v>
      </c>
      <c r="Y76" s="2">
        <v>-15.311510031678999</v>
      </c>
      <c r="Z76" s="2">
        <v>-24.722285828639812</v>
      </c>
    </row>
    <row r="77" spans="2:26" x14ac:dyDescent="0.2">
      <c r="B77">
        <v>257</v>
      </c>
      <c r="C77" t="s">
        <v>194</v>
      </c>
      <c r="V77" s="2">
        <v>32.943925233644869</v>
      </c>
      <c r="W77" s="2">
        <v>5.3291536050156907</v>
      </c>
      <c r="X77" s="2">
        <v>1.713395638629267</v>
      </c>
      <c r="Y77" s="2">
        <v>4.2816365366317832</v>
      </c>
      <c r="Z77" s="2">
        <v>40.028711217883028</v>
      </c>
    </row>
    <row r="78" spans="2:26" x14ac:dyDescent="0.2">
      <c r="B78">
        <v>258</v>
      </c>
      <c r="C78" t="s">
        <v>195</v>
      </c>
      <c r="V78" s="2">
        <v>-14.732142857142861</v>
      </c>
      <c r="W78" s="2">
        <v>-21.822541966426854</v>
      </c>
      <c r="X78" s="2">
        <v>22.352941176470598</v>
      </c>
      <c r="Y78" s="2">
        <v>-7.174151150054775</v>
      </c>
      <c r="Z78" s="2">
        <v>-33.339756766015782</v>
      </c>
    </row>
    <row r="79" spans="2:26" x14ac:dyDescent="0.2">
      <c r="B79">
        <v>275</v>
      </c>
      <c r="C79" t="s">
        <v>196</v>
      </c>
      <c r="V79" s="2">
        <v>19.364448857994041</v>
      </c>
      <c r="W79" s="2">
        <v>-11.845102505694749</v>
      </c>
      <c r="X79" s="2">
        <v>9.2081031307550631</v>
      </c>
      <c r="Y79" s="2">
        <v>-3.8027580442958619</v>
      </c>
      <c r="Z79" s="2">
        <v>5.2256075354070619</v>
      </c>
    </row>
    <row r="80" spans="2:26" x14ac:dyDescent="0.2">
      <c r="B80">
        <v>277</v>
      </c>
      <c r="C80" t="s">
        <v>197</v>
      </c>
      <c r="V80" s="2">
        <v>5.6657223796033884</v>
      </c>
      <c r="W80" s="2">
        <v>-13.079019073569498</v>
      </c>
      <c r="X80" s="2">
        <v>17.792792792792799</v>
      </c>
      <c r="Y80" s="2">
        <v>-5.9488399762031019E-2</v>
      </c>
      <c r="Z80" s="2">
        <v>-8.1543176046499077</v>
      </c>
    </row>
    <row r="81" spans="2:26" x14ac:dyDescent="0.2">
      <c r="B81">
        <v>281</v>
      </c>
      <c r="C81" t="s">
        <v>198</v>
      </c>
      <c r="V81" s="2">
        <v>-1.8867924528301994</v>
      </c>
      <c r="W81" s="2">
        <v>-10.613207547169811</v>
      </c>
      <c r="X81" s="2">
        <v>13.595166163142004</v>
      </c>
      <c r="Y81" s="2">
        <v>6.8587105624140499E-2</v>
      </c>
      <c r="Z81" s="2">
        <v>-12.299750800996801</v>
      </c>
    </row>
    <row r="82" spans="2:26" x14ac:dyDescent="0.2">
      <c r="B82">
        <v>285</v>
      </c>
      <c r="C82" t="s">
        <v>199</v>
      </c>
      <c r="V82" s="2">
        <v>14.226804123711334</v>
      </c>
      <c r="W82" s="2">
        <v>5.1829268292683084</v>
      </c>
      <c r="X82" s="2">
        <v>7.6066790352504743</v>
      </c>
      <c r="Y82" s="2">
        <v>19.235836627140991</v>
      </c>
      <c r="Z82" s="2">
        <v>20.14709580085492</v>
      </c>
    </row>
    <row r="83" spans="2:26" x14ac:dyDescent="0.2">
      <c r="B83">
        <v>287</v>
      </c>
      <c r="C83" t="s">
        <v>200</v>
      </c>
      <c r="V83" s="2">
        <v>11.169652265542673</v>
      </c>
      <c r="W83" s="2">
        <v>-6.0526315789473646</v>
      </c>
      <c r="X83" s="2">
        <v>9.244992295839749</v>
      </c>
      <c r="Y83" s="2">
        <v>0.52062474969964967</v>
      </c>
      <c r="Z83" s="2">
        <v>4.4409627863124523</v>
      </c>
    </row>
    <row r="84" spans="2:26" x14ac:dyDescent="0.2">
      <c r="B84">
        <v>288</v>
      </c>
      <c r="C84" t="s">
        <v>201</v>
      </c>
      <c r="V84" s="2">
        <v>6.5506653019447247</v>
      </c>
      <c r="W84" s="2">
        <v>-11.111111111111116</v>
      </c>
      <c r="X84" s="2">
        <v>15.845539280958732</v>
      </c>
      <c r="Y84" s="2">
        <v>0.99906337808304269</v>
      </c>
      <c r="Z84" s="2">
        <v>-5.2882975093824669</v>
      </c>
    </row>
    <row r="85" spans="2:26" x14ac:dyDescent="0.2">
      <c r="B85">
        <v>312</v>
      </c>
      <c r="C85" t="s">
        <v>202</v>
      </c>
      <c r="V85" s="2">
        <v>-8.8785046728971917</v>
      </c>
      <c r="W85" s="2">
        <v>-18.594104308390026</v>
      </c>
      <c r="X85" s="2">
        <v>16.666666666666675</v>
      </c>
      <c r="Y85" s="2">
        <v>-6.9235400361228105</v>
      </c>
      <c r="Z85" s="2">
        <v>-25.82173056138344</v>
      </c>
    </row>
    <row r="86" spans="2:26" x14ac:dyDescent="0.2">
      <c r="B86">
        <v>323</v>
      </c>
      <c r="C86" t="s">
        <v>203</v>
      </c>
      <c r="V86" s="2">
        <v>2.8350515463917425</v>
      </c>
      <c r="W86" s="2">
        <v>-19.681908548707749</v>
      </c>
      <c r="X86" s="2">
        <v>15.982721382289423</v>
      </c>
      <c r="Y86" s="2">
        <v>2.7764705882352914</v>
      </c>
      <c r="Z86" s="2">
        <v>-17.404849254985557</v>
      </c>
    </row>
    <row r="87" spans="2:26" x14ac:dyDescent="0.2">
      <c r="B87">
        <v>347</v>
      </c>
      <c r="C87" t="s">
        <v>204</v>
      </c>
      <c r="V87" s="2">
        <v>31.186094069529659</v>
      </c>
      <c r="W87" s="2">
        <v>-13.157894736842103</v>
      </c>
      <c r="X87" s="2">
        <v>14.340344168260044</v>
      </c>
      <c r="Y87" s="2">
        <v>-1.7596782302664704</v>
      </c>
      <c r="Z87" s="2">
        <v>13.924765902486303</v>
      </c>
    </row>
    <row r="88" spans="2:26" x14ac:dyDescent="0.2">
      <c r="B88">
        <v>373</v>
      </c>
      <c r="C88" t="s">
        <v>205</v>
      </c>
      <c r="V88" s="2">
        <v>-6.6950053134962833</v>
      </c>
      <c r="W88" s="2">
        <v>-14.441416893732983</v>
      </c>
      <c r="X88" s="2">
        <v>75.494071146245048</v>
      </c>
      <c r="Y88" s="2">
        <v>5.4031587697423111</v>
      </c>
      <c r="Z88" s="2">
        <v>-20.169568578849674</v>
      </c>
    </row>
    <row r="89" spans="2:26" x14ac:dyDescent="0.2">
      <c r="B89">
        <v>401</v>
      </c>
      <c r="C89" t="s">
        <v>206</v>
      </c>
      <c r="V89" s="2">
        <v>115.51724137931036</v>
      </c>
      <c r="W89" s="2">
        <v>-13.932584269662929</v>
      </c>
      <c r="X89" s="2">
        <v>6.2240663900414939</v>
      </c>
      <c r="Y89" s="2">
        <v>-8.4927671488567391</v>
      </c>
      <c r="Z89" s="2">
        <v>85.490120108485087</v>
      </c>
    </row>
    <row r="90" spans="2:26" x14ac:dyDescent="0.2">
      <c r="B90">
        <v>423</v>
      </c>
      <c r="C90" t="s">
        <v>207</v>
      </c>
      <c r="V90" s="2">
        <v>11.943127962085299</v>
      </c>
      <c r="W90" s="2">
        <v>-17.084282460136681</v>
      </c>
      <c r="X90" s="2">
        <v>25.400457665903886</v>
      </c>
      <c r="Y90" s="2">
        <v>4.0637012630422742</v>
      </c>
      <c r="Z90" s="2">
        <v>-7.1815522136695842</v>
      </c>
    </row>
    <row r="91" spans="2:26" x14ac:dyDescent="0.2">
      <c r="B91">
        <v>445</v>
      </c>
      <c r="C91" t="s">
        <v>208</v>
      </c>
      <c r="V91" s="2">
        <v>10.43566362715298</v>
      </c>
      <c r="W91" s="2">
        <v>-15.254237288135597</v>
      </c>
      <c r="X91" s="2">
        <v>20.745920745920742</v>
      </c>
      <c r="Y91" s="2">
        <v>-0.50435580009169367</v>
      </c>
      <c r="Z91" s="2">
        <v>-6.4104545532601698</v>
      </c>
    </row>
    <row r="92" spans="2:26" x14ac:dyDescent="0.2">
      <c r="B92">
        <v>446</v>
      </c>
      <c r="C92" t="s">
        <v>209</v>
      </c>
      <c r="V92" s="2">
        <v>-7.6923076923076872</v>
      </c>
      <c r="W92" s="2">
        <v>-17.435897435897431</v>
      </c>
      <c r="X92" s="2">
        <v>20.127795527156557</v>
      </c>
      <c r="Y92" s="2">
        <v>14.130434782608713</v>
      </c>
      <c r="Z92" s="2">
        <v>-23.786982248520694</v>
      </c>
    </row>
    <row r="93" spans="2:26" x14ac:dyDescent="0.2">
      <c r="B93">
        <v>459</v>
      </c>
      <c r="C93" t="s">
        <v>210</v>
      </c>
      <c r="V93" s="2">
        <v>-8.0903104421448653</v>
      </c>
      <c r="W93" s="2">
        <v>-12.694877505567915</v>
      </c>
      <c r="X93" s="2">
        <v>38.148984198645607</v>
      </c>
      <c r="Y93" s="2">
        <v>-5.7492077863286584</v>
      </c>
      <c r="Z93" s="2">
        <v>-19.758132947262329</v>
      </c>
    </row>
    <row r="94" spans="2:26" x14ac:dyDescent="0.2">
      <c r="B94">
        <v>463</v>
      </c>
      <c r="C94" t="s">
        <v>211</v>
      </c>
      <c r="V94" s="2">
        <v>38.843930635838156</v>
      </c>
      <c r="W94" s="2">
        <v>-8.9189189189189158</v>
      </c>
      <c r="X94" s="2">
        <v>13.390313390313381</v>
      </c>
      <c r="Y94" s="2">
        <v>12.173913043478258</v>
      </c>
      <c r="Z94" s="2">
        <v>26.460553038587719</v>
      </c>
    </row>
    <row r="95" spans="2:26" x14ac:dyDescent="0.2">
      <c r="B95">
        <v>480</v>
      </c>
      <c r="C95" t="s">
        <v>212</v>
      </c>
      <c r="V95" s="2">
        <v>19.312436804853373</v>
      </c>
      <c r="W95" s="2">
        <v>2.0958083832335328</v>
      </c>
      <c r="X95" s="2">
        <v>23.741007194244588</v>
      </c>
      <c r="Y95" s="2">
        <v>25.160829163688359</v>
      </c>
      <c r="Z95" s="2">
        <v>21.812996857649701</v>
      </c>
    </row>
    <row r="96" spans="2:26" x14ac:dyDescent="0.2">
      <c r="B96">
        <v>486</v>
      </c>
      <c r="C96" t="s">
        <v>213</v>
      </c>
      <c r="V96" s="2">
        <v>11.339198435972641</v>
      </c>
      <c r="W96" s="2">
        <v>-22.608695652173903</v>
      </c>
      <c r="X96" s="2">
        <v>13.226452905811637</v>
      </c>
      <c r="Y96" s="2">
        <v>-9.9770642201834967</v>
      </c>
      <c r="Z96" s="2">
        <v>-13.833142079986406</v>
      </c>
    </row>
    <row r="97" spans="1:26" x14ac:dyDescent="0.2">
      <c r="B97">
        <v>529</v>
      </c>
      <c r="C97" t="s">
        <v>214</v>
      </c>
      <c r="V97" s="2">
        <v>18.238993710691819</v>
      </c>
      <c r="W97" s="2">
        <v>-2.4875621890547261</v>
      </c>
      <c r="X97" s="2">
        <v>3.2258064516129004</v>
      </c>
      <c r="Y97" s="2">
        <v>4.7422680412371188</v>
      </c>
      <c r="Z97" s="2">
        <v>15.297725210425872</v>
      </c>
    </row>
    <row r="98" spans="1:26" x14ac:dyDescent="0.2">
      <c r="B98">
        <v>541</v>
      </c>
      <c r="C98" t="s">
        <v>215</v>
      </c>
      <c r="V98" s="2">
        <v>16.324435318275142</v>
      </c>
      <c r="W98" s="2">
        <v>-31.052631578947366</v>
      </c>
      <c r="X98" s="2">
        <v>23.471400394477303</v>
      </c>
      <c r="Y98" s="2">
        <v>-13.449740443605485</v>
      </c>
      <c r="Z98" s="2">
        <v>-19.79736301739975</v>
      </c>
    </row>
    <row r="99" spans="1:26" x14ac:dyDescent="0.2">
      <c r="B99" t="s">
        <v>216</v>
      </c>
      <c r="C99" t="s">
        <v>217</v>
      </c>
      <c r="V99" s="2">
        <v>-21.020563594821027</v>
      </c>
      <c r="W99" s="2">
        <v>-16.964285714285698</v>
      </c>
      <c r="X99" s="2">
        <v>17.391304347826075</v>
      </c>
      <c r="Y99" s="2">
        <v>-6.0100166944908162</v>
      </c>
      <c r="Z99" s="2">
        <v>-34.418860842128154</v>
      </c>
    </row>
    <row r="100" spans="1:26" x14ac:dyDescent="0.2">
      <c r="B100" t="s">
        <v>218</v>
      </c>
      <c r="C100" t="s">
        <v>219</v>
      </c>
      <c r="V100" s="2">
        <v>9.2079207920792161</v>
      </c>
      <c r="W100" s="2">
        <v>-19.916142557651995</v>
      </c>
      <c r="X100" s="2">
        <v>18.333333333333336</v>
      </c>
      <c r="Y100" s="2">
        <v>-5.3681710213776661</v>
      </c>
      <c r="Z100" s="2">
        <v>-12.542084397118936</v>
      </c>
    </row>
    <row r="101" spans="1:26" x14ac:dyDescent="0.2">
      <c r="D101" s="5"/>
    </row>
    <row r="102" spans="1:26" x14ac:dyDescent="0.2">
      <c r="A102" t="s">
        <v>356</v>
      </c>
      <c r="B102">
        <v>43</v>
      </c>
      <c r="C102" t="s">
        <v>355</v>
      </c>
      <c r="D102" s="1">
        <v>12327</v>
      </c>
      <c r="E102">
        <v>1</v>
      </c>
      <c r="F102">
        <v>530</v>
      </c>
      <c r="G102" t="s">
        <v>441</v>
      </c>
      <c r="H102" t="s">
        <v>442</v>
      </c>
      <c r="Q102" t="s">
        <v>424</v>
      </c>
    </row>
    <row r="103" spans="1:26" x14ac:dyDescent="0.2">
      <c r="A103" t="s">
        <v>357</v>
      </c>
      <c r="B103">
        <v>549</v>
      </c>
      <c r="C103" t="s">
        <v>425</v>
      </c>
      <c r="D103" s="1">
        <v>12809</v>
      </c>
      <c r="E103">
        <v>21</v>
      </c>
      <c r="F103">
        <v>96</v>
      </c>
      <c r="G103">
        <v>40</v>
      </c>
      <c r="H103" t="s">
        <v>426</v>
      </c>
      <c r="J103" t="s">
        <v>429</v>
      </c>
      <c r="Q103" t="s">
        <v>428</v>
      </c>
      <c r="R103" t="s">
        <v>427</v>
      </c>
    </row>
    <row r="106" spans="1:26" x14ac:dyDescent="0.2">
      <c r="V106" s="2" t="s">
        <v>139</v>
      </c>
      <c r="W106" s="2" t="s">
        <v>140</v>
      </c>
      <c r="X106" s="2" t="s">
        <v>141</v>
      </c>
      <c r="Y106" s="2" t="s">
        <v>142</v>
      </c>
      <c r="Z106" s="2" t="s">
        <v>143</v>
      </c>
    </row>
    <row r="107" spans="1:26" x14ac:dyDescent="0.2">
      <c r="B107">
        <v>0</v>
      </c>
      <c r="C107" t="s">
        <v>362</v>
      </c>
      <c r="J107" t="s">
        <v>430</v>
      </c>
      <c r="V107" s="2">
        <v>3.669724770642202</v>
      </c>
      <c r="W107" s="2">
        <v>-14.221218961625281</v>
      </c>
      <c r="X107" s="2">
        <v>-0.61162079510703737</v>
      </c>
      <c r="Y107" s="2">
        <v>-2.0259938837920544</v>
      </c>
      <c r="Z107" s="2">
        <v>-11.073373785905094</v>
      </c>
    </row>
    <row r="108" spans="1:26" x14ac:dyDescent="0.2">
      <c r="B108">
        <v>0</v>
      </c>
      <c r="C108" t="s">
        <v>363</v>
      </c>
      <c r="V108" s="2">
        <v>39.197166469893752</v>
      </c>
      <c r="W108" s="2">
        <v>-10.223642172523961</v>
      </c>
      <c r="X108" s="2">
        <v>-1.2224938875305624</v>
      </c>
      <c r="Y108" s="2">
        <v>-10.023677979479084</v>
      </c>
      <c r="Z108" s="2">
        <v>24.966146255719291</v>
      </c>
    </row>
    <row r="109" spans="1:26" x14ac:dyDescent="0.2">
      <c r="B109">
        <v>0</v>
      </c>
      <c r="C109" t="s">
        <v>364</v>
      </c>
      <c r="J109" t="s">
        <v>431</v>
      </c>
      <c r="V109" s="2">
        <v>9.5877277085332224E-2</v>
      </c>
      <c r="W109" s="2" t="e">
        <v>#DIV/0!</v>
      </c>
      <c r="X109" s="2" t="e">
        <v>#DIV/0!</v>
      </c>
      <c r="Y109" s="2">
        <v>2.2277227722772297</v>
      </c>
      <c r="Z109" s="2" t="e">
        <v>#DIV/0!</v>
      </c>
    </row>
    <row r="110" spans="1:26" x14ac:dyDescent="0.2">
      <c r="B110">
        <v>0</v>
      </c>
      <c r="C110" t="s">
        <v>365</v>
      </c>
      <c r="G110" t="s">
        <v>432</v>
      </c>
      <c r="V110" s="2">
        <v>74.093264248704656</v>
      </c>
      <c r="W110" s="2">
        <v>-31.125827814569529</v>
      </c>
      <c r="X110" s="2">
        <v>34.196891191709831</v>
      </c>
      <c r="Y110" s="2">
        <v>-5.5197792088316433</v>
      </c>
      <c r="Z110" s="2">
        <v>19.905294581889301</v>
      </c>
    </row>
    <row r="111" spans="1:26" x14ac:dyDescent="0.2">
      <c r="A111" t="s">
        <v>360</v>
      </c>
      <c r="B111">
        <v>0</v>
      </c>
      <c r="C111" t="s">
        <v>366</v>
      </c>
      <c r="J111" t="s">
        <v>433</v>
      </c>
      <c r="V111" s="2">
        <v>-12.888888888888895</v>
      </c>
      <c r="W111" s="2">
        <v>-19.569471624266143</v>
      </c>
      <c r="X111" s="2">
        <v>30.578512396694222</v>
      </c>
      <c r="Y111" s="2">
        <v>-0.6384676775738285</v>
      </c>
      <c r="Z111" s="2">
        <v>-29.936073059360734</v>
      </c>
    </row>
    <row r="112" spans="1:26" x14ac:dyDescent="0.2">
      <c r="B112">
        <v>0</v>
      </c>
      <c r="C112" t="s">
        <v>367</v>
      </c>
      <c r="J112" t="s">
        <v>435</v>
      </c>
      <c r="V112" s="2">
        <v>16.324435318275142</v>
      </c>
      <c r="W112" s="2">
        <v>-19.066937119675455</v>
      </c>
      <c r="X112" s="2">
        <v>21.760391198044005</v>
      </c>
      <c r="Y112" s="2">
        <v>-1.4392059553349879</v>
      </c>
      <c r="Z112" s="2">
        <v>-5.8550716186779201</v>
      </c>
    </row>
    <row r="113" spans="1:26" x14ac:dyDescent="0.2">
      <c r="B113">
        <v>0</v>
      </c>
      <c r="C113" t="s">
        <v>368</v>
      </c>
      <c r="J113" t="s">
        <v>434</v>
      </c>
      <c r="V113" s="2">
        <v>14.084507042253524</v>
      </c>
      <c r="W113" s="2">
        <v>-32.844036697247702</v>
      </c>
      <c r="X113" s="2">
        <v>28.538812785388124</v>
      </c>
      <c r="Y113" s="2">
        <v>-14.944356120826718</v>
      </c>
      <c r="Z113" s="2">
        <v>-23.385450316578371</v>
      </c>
    </row>
    <row r="114" spans="1:26" x14ac:dyDescent="0.2">
      <c r="B114">
        <v>1</v>
      </c>
      <c r="C114" t="s">
        <v>369</v>
      </c>
      <c r="D114" s="1">
        <v>12244</v>
      </c>
      <c r="E114">
        <v>1</v>
      </c>
      <c r="F114" s="5" t="s">
        <v>397</v>
      </c>
      <c r="G114" t="s">
        <v>393</v>
      </c>
      <c r="H114" t="s">
        <v>394</v>
      </c>
      <c r="J114">
        <v>425000</v>
      </c>
      <c r="K114" s="3" t="s">
        <v>395</v>
      </c>
      <c r="M114">
        <v>314000</v>
      </c>
      <c r="N114" s="3">
        <v>12206</v>
      </c>
      <c r="P114">
        <v>400000</v>
      </c>
      <c r="Q114" t="s">
        <v>396</v>
      </c>
      <c r="V114" s="2">
        <v>-2.1220159151193574</v>
      </c>
      <c r="W114" s="2">
        <v>-29.268292682926845</v>
      </c>
      <c r="X114" s="2">
        <v>55.785123966942173</v>
      </c>
      <c r="Y114" s="2">
        <v>9.1442953020134166</v>
      </c>
      <c r="Z114" s="2">
        <v>-30.76923076923077</v>
      </c>
    </row>
    <row r="115" spans="1:26" x14ac:dyDescent="0.2">
      <c r="B115">
        <v>2</v>
      </c>
      <c r="C115" t="s">
        <v>370</v>
      </c>
      <c r="D115" s="1">
        <v>12260</v>
      </c>
      <c r="E115">
        <v>1</v>
      </c>
      <c r="F115" t="s">
        <v>398</v>
      </c>
      <c r="G115" t="s">
        <v>401</v>
      </c>
      <c r="H115" t="s">
        <v>402</v>
      </c>
      <c r="J115">
        <v>100</v>
      </c>
      <c r="K115">
        <v>1932</v>
      </c>
      <c r="M115">
        <v>65.2</v>
      </c>
      <c r="N115">
        <v>1933</v>
      </c>
      <c r="P115">
        <v>47.4</v>
      </c>
      <c r="Q115" t="s">
        <v>400</v>
      </c>
      <c r="V115" s="2">
        <v>21.88160676532771</v>
      </c>
      <c r="W115" s="2">
        <v>-10.606060606060607</v>
      </c>
      <c r="X115" s="2">
        <v>21.184919210053856</v>
      </c>
      <c r="Y115" s="2">
        <v>4.7619047619047672</v>
      </c>
      <c r="Z115" s="2">
        <v>8.9547696841565596</v>
      </c>
    </row>
    <row r="116" spans="1:26" x14ac:dyDescent="0.2">
      <c r="B116">
        <v>3</v>
      </c>
      <c r="C116" t="s">
        <v>371</v>
      </c>
      <c r="D116" t="s">
        <v>403</v>
      </c>
      <c r="E116">
        <v>1</v>
      </c>
      <c r="F116" t="s">
        <v>404</v>
      </c>
      <c r="G116">
        <v>40</v>
      </c>
      <c r="H116" t="s">
        <v>406</v>
      </c>
      <c r="J116">
        <v>147000</v>
      </c>
      <c r="Q116" t="s">
        <v>407</v>
      </c>
      <c r="V116" s="2">
        <v>-16.584967320261445</v>
      </c>
      <c r="W116" s="2">
        <v>-33.061224489795926</v>
      </c>
      <c r="X116" s="2">
        <v>40.340909090909079</v>
      </c>
      <c r="Y116" s="2">
        <v>-5.1206592113007492</v>
      </c>
      <c r="Z116" s="2">
        <v>-44.162998532746442</v>
      </c>
    </row>
    <row r="117" spans="1:26" x14ac:dyDescent="0.2">
      <c r="B117">
        <v>4</v>
      </c>
      <c r="C117" t="s">
        <v>372</v>
      </c>
      <c r="D117" t="s">
        <v>408</v>
      </c>
      <c r="E117">
        <v>1</v>
      </c>
      <c r="F117" t="s">
        <v>405</v>
      </c>
      <c r="J117">
        <v>328722</v>
      </c>
      <c r="Q117" t="s">
        <v>410</v>
      </c>
      <c r="V117" s="2">
        <v>32.368148914167527</v>
      </c>
      <c r="W117" s="2">
        <v>-7.3569482288828425</v>
      </c>
      <c r="X117" s="2">
        <v>10.505836575875493</v>
      </c>
      <c r="Y117" s="2">
        <v>10.599571734475388</v>
      </c>
      <c r="Z117" s="2">
        <v>22.629892727021694</v>
      </c>
    </row>
    <row r="118" spans="1:26" x14ac:dyDescent="0.2">
      <c r="B118">
        <v>5</v>
      </c>
      <c r="C118" t="s">
        <v>373</v>
      </c>
      <c r="D118" t="s">
        <v>408</v>
      </c>
      <c r="E118">
        <v>1</v>
      </c>
      <c r="F118">
        <v>51</v>
      </c>
      <c r="Q118" t="s">
        <v>411</v>
      </c>
      <c r="V118" s="2">
        <v>3.4261241970021228</v>
      </c>
      <c r="W118" s="2">
        <v>-44.337349397590351</v>
      </c>
      <c r="X118" s="2">
        <v>51.896813353565996</v>
      </c>
      <c r="Y118" s="2">
        <v>-14.769230769230768</v>
      </c>
      <c r="Z118" s="2">
        <v>-42.430277856608456</v>
      </c>
    </row>
    <row r="119" spans="1:26" x14ac:dyDescent="0.2">
      <c r="B119">
        <v>7</v>
      </c>
      <c r="C119" t="s">
        <v>374</v>
      </c>
      <c r="D119" t="s">
        <v>409</v>
      </c>
      <c r="E119">
        <v>1</v>
      </c>
      <c r="F119">
        <v>69</v>
      </c>
      <c r="Q119" t="s">
        <v>411</v>
      </c>
      <c r="V119" s="2">
        <v>-0.90543259557344102</v>
      </c>
      <c r="W119" s="2" t="e">
        <v>#DIV/0!</v>
      </c>
      <c r="X119" s="2" t="e">
        <v>#DIV/0!</v>
      </c>
      <c r="Y119" s="2">
        <v>-10.369833212472802</v>
      </c>
      <c r="Z119" s="2" t="e">
        <v>#DIV/0!</v>
      </c>
    </row>
    <row r="120" spans="1:26" x14ac:dyDescent="0.2">
      <c r="B120">
        <v>9</v>
      </c>
      <c r="C120" t="s">
        <v>375</v>
      </c>
      <c r="D120" s="1">
        <v>12278</v>
      </c>
      <c r="E120">
        <v>1</v>
      </c>
      <c r="F120" t="s">
        <v>399</v>
      </c>
      <c r="G120" t="s">
        <v>413</v>
      </c>
      <c r="H120" t="s">
        <v>412</v>
      </c>
      <c r="J120">
        <v>419084</v>
      </c>
      <c r="K120">
        <v>1931</v>
      </c>
      <c r="M120">
        <v>196500</v>
      </c>
      <c r="Q120" t="s">
        <v>415</v>
      </c>
      <c r="R120" t="s">
        <v>414</v>
      </c>
      <c r="V120" s="2">
        <v>11.121323529411775</v>
      </c>
      <c r="W120" s="2">
        <v>-22.171945701357476</v>
      </c>
      <c r="X120" s="2">
        <v>47.03832752613242</v>
      </c>
      <c r="Y120" s="2">
        <v>9.1820987654321016</v>
      </c>
      <c r="Z120" s="2">
        <v>-13.516435986159159</v>
      </c>
    </row>
    <row r="121" spans="1:26" x14ac:dyDescent="0.2">
      <c r="B121">
        <v>10</v>
      </c>
      <c r="C121" t="s">
        <v>376</v>
      </c>
      <c r="D121" s="1">
        <v>12285</v>
      </c>
      <c r="E121">
        <v>1</v>
      </c>
      <c r="F121">
        <v>148</v>
      </c>
      <c r="Q121" t="s">
        <v>416</v>
      </c>
      <c r="V121" s="2">
        <v>21.338912133891231</v>
      </c>
      <c r="W121" s="2">
        <v>-30.000000000000004</v>
      </c>
      <c r="X121" s="2">
        <v>56.967213114754102</v>
      </c>
      <c r="Y121" s="2">
        <v>-2.0466786355475719</v>
      </c>
      <c r="Z121" s="2">
        <v>-15.062761506276146</v>
      </c>
    </row>
    <row r="122" spans="1:26" x14ac:dyDescent="0.2">
      <c r="B122">
        <v>10</v>
      </c>
      <c r="C122" t="s">
        <v>377</v>
      </c>
      <c r="D122" s="1">
        <v>12285</v>
      </c>
      <c r="E122">
        <v>1</v>
      </c>
      <c r="F122">
        <v>148</v>
      </c>
      <c r="Q122" t="s">
        <v>416</v>
      </c>
      <c r="V122" s="2">
        <v>13.491246138002078</v>
      </c>
      <c r="W122" s="2">
        <v>-11.750000000000005</v>
      </c>
      <c r="X122" s="2">
        <v>12.03852327447834</v>
      </c>
      <c r="Y122" s="2">
        <v>-2.8284331968738474</v>
      </c>
      <c r="Z122" s="2">
        <v>0.15602471678679564</v>
      </c>
    </row>
    <row r="123" spans="1:26" x14ac:dyDescent="0.2">
      <c r="A123" t="s">
        <v>383</v>
      </c>
      <c r="B123">
        <v>11</v>
      </c>
      <c r="C123" t="s">
        <v>382</v>
      </c>
      <c r="D123" s="1">
        <v>12285</v>
      </c>
      <c r="E123">
        <v>1</v>
      </c>
      <c r="F123" t="s">
        <v>384</v>
      </c>
      <c r="G123" t="s">
        <v>387</v>
      </c>
      <c r="H123" t="s">
        <v>388</v>
      </c>
      <c r="J123">
        <v>420800</v>
      </c>
      <c r="K123">
        <v>1931</v>
      </c>
      <c r="M123">
        <v>278100</v>
      </c>
      <c r="N123" s="3">
        <v>12236</v>
      </c>
      <c r="P123">
        <v>272000</v>
      </c>
      <c r="Q123" t="s">
        <v>386</v>
      </c>
      <c r="R123" t="s">
        <v>385</v>
      </c>
      <c r="V123" s="2">
        <v>11.363636363636353</v>
      </c>
      <c r="W123" s="2">
        <v>-27.500000000000004</v>
      </c>
      <c r="X123" s="2">
        <v>22.153209109730867</v>
      </c>
      <c r="Y123" s="2">
        <v>-10.369984366857743</v>
      </c>
      <c r="Z123" s="2">
        <v>-19.261363636363626</v>
      </c>
    </row>
    <row r="124" spans="1:26" x14ac:dyDescent="0.2">
      <c r="A124" t="s">
        <v>358</v>
      </c>
      <c r="B124">
        <v>14</v>
      </c>
      <c r="C124" t="s">
        <v>378</v>
      </c>
      <c r="D124" t="s">
        <v>417</v>
      </c>
      <c r="E124">
        <v>1</v>
      </c>
      <c r="F124" t="s">
        <v>418</v>
      </c>
      <c r="G124">
        <v>40</v>
      </c>
      <c r="J124" t="s">
        <v>420</v>
      </c>
      <c r="N124" s="3">
        <v>12267</v>
      </c>
      <c r="P124">
        <v>41000</v>
      </c>
      <c r="Q124" t="s">
        <v>422</v>
      </c>
      <c r="R124" t="s">
        <v>419</v>
      </c>
      <c r="S124" t="s">
        <v>421</v>
      </c>
      <c r="V124" s="2">
        <v>17.735470941883769</v>
      </c>
      <c r="W124" s="2">
        <v>-14.28571428571429</v>
      </c>
      <c r="X124" s="2">
        <v>14.705882352941169</v>
      </c>
      <c r="Y124" s="2">
        <v>6.2992125984251857</v>
      </c>
      <c r="Z124" s="2">
        <v>0.91611795018606834</v>
      </c>
    </row>
    <row r="125" spans="1:26" x14ac:dyDescent="0.2">
      <c r="B125">
        <v>15</v>
      </c>
      <c r="C125" t="s">
        <v>379</v>
      </c>
      <c r="D125" s="1">
        <v>12289</v>
      </c>
      <c r="E125">
        <v>1</v>
      </c>
      <c r="F125">
        <v>230</v>
      </c>
      <c r="Q125" t="s">
        <v>423</v>
      </c>
      <c r="V125" s="2">
        <v>-4.8571428571428488</v>
      </c>
      <c r="W125" s="2">
        <v>-40</v>
      </c>
      <c r="X125" s="2">
        <v>86.627906976744214</v>
      </c>
      <c r="Y125" s="2">
        <v>4.5289855072463858</v>
      </c>
      <c r="Z125" s="2">
        <v>-42.914285714285704</v>
      </c>
    </row>
    <row r="126" spans="1:26" x14ac:dyDescent="0.2">
      <c r="B126">
        <v>16</v>
      </c>
      <c r="C126" t="s">
        <v>380</v>
      </c>
      <c r="D126" s="1">
        <v>12291</v>
      </c>
      <c r="E126">
        <v>1</v>
      </c>
      <c r="F126">
        <v>240</v>
      </c>
      <c r="Q126" t="s">
        <v>423</v>
      </c>
      <c r="V126" s="2">
        <v>11.021233569261879</v>
      </c>
      <c r="W126" s="2">
        <v>-20.399113082039921</v>
      </c>
      <c r="X126" s="2">
        <v>55.663430420711975</v>
      </c>
      <c r="Y126" s="2">
        <v>28.86762360446571</v>
      </c>
      <c r="Z126" s="2">
        <v>-11.62611341160753</v>
      </c>
    </row>
    <row r="127" spans="1:26" x14ac:dyDescent="0.2">
      <c r="A127" t="s">
        <v>361</v>
      </c>
      <c r="B127">
        <v>17</v>
      </c>
      <c r="C127" t="s">
        <v>381</v>
      </c>
      <c r="D127" s="1">
        <v>12291</v>
      </c>
      <c r="E127">
        <v>1</v>
      </c>
      <c r="F127" t="s">
        <v>389</v>
      </c>
      <c r="G127" t="s">
        <v>392</v>
      </c>
      <c r="H127" t="s">
        <v>391</v>
      </c>
      <c r="Q127" t="s">
        <v>390</v>
      </c>
      <c r="V127" s="2">
        <v>-16.108597285067873</v>
      </c>
      <c r="W127" s="2">
        <v>-19.576719576719569</v>
      </c>
      <c r="X127" s="2">
        <v>15.544041450777213</v>
      </c>
      <c r="Y127" s="2">
        <v>-7.1948998178506418</v>
      </c>
      <c r="Z127" s="2">
        <v>-32.531781943546633</v>
      </c>
    </row>
    <row r="128" spans="1:26" x14ac:dyDescent="0.2">
      <c r="A128" t="s">
        <v>438</v>
      </c>
      <c r="B128" t="s">
        <v>436</v>
      </c>
      <c r="C128" t="s">
        <v>437</v>
      </c>
      <c r="D128" s="1">
        <v>12352</v>
      </c>
      <c r="E128">
        <v>2</v>
      </c>
      <c r="F128" t="s">
        <v>439</v>
      </c>
      <c r="Q128" t="s">
        <v>440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source</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Price Fishback</dc:creator>
  <cp:lastModifiedBy>Nicolas L. Ziebarth</cp:lastModifiedBy>
  <dcterms:created xsi:type="dcterms:W3CDTF">2021-06-30T17:30:32Z</dcterms:created>
  <dcterms:modified xsi:type="dcterms:W3CDTF">2021-08-13T17:09:02Z</dcterms:modified>
</cp:coreProperties>
</file>